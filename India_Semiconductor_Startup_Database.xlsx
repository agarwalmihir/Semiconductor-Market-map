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hirAgarwal\Downloads\"/>
    </mc:Choice>
  </mc:AlternateContent>
  <xr:revisionPtr revIDLastSave="0" documentId="13_ncr:1_{1A30F1FD-A3CB-4DB4-BD9A-6996D36B1AA3}" xr6:coauthVersionLast="47" xr6:coauthVersionMax="47" xr10:uidLastSave="{00000000-0000-0000-0000-000000000000}"/>
  <bookViews>
    <workbookView xWindow="-110" yWindow="-110" windowWidth="19420" windowHeight="11500" firstSheet="10" activeTab="12" xr2:uid="{00000000-000D-0000-FFFF-FFFF00000000}"/>
  </bookViews>
  <sheets>
    <sheet name="VC shortlist" sheetId="1" r:id="rId1"/>
    <sheet name="Company universe" sheetId="2" r:id="rId2"/>
    <sheet name="Funding" sheetId="3" r:id="rId3"/>
    <sheet name="Funding events" sheetId="4" r:id="rId4"/>
    <sheet name="Founders" sheetId="5" r:id="rId5"/>
    <sheet name="Products and readiness" sheetId="6" r:id="rId6"/>
    <sheet name="Customers and alliances" sheetId="7" r:id="rId7"/>
    <sheet name="Government support" sheetId="8" r:id="rId8"/>
    <sheet name="DLI projects" sheetId="9" r:id="rId9"/>
    <sheet name="Business model matrix" sheetId="10" r:id="rId10"/>
    <sheet name="Indian beneficiary map" sheetId="11" r:id="rId11"/>
    <sheet name="Sources" sheetId="12" r:id="rId12"/>
    <sheet name="Method and definition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1" l="1"/>
  <c r="C76" i="1"/>
  <c r="C77" i="1"/>
  <c r="C78" i="1"/>
  <c r="C79" i="1"/>
  <c r="C80" i="1"/>
  <c r="C74" i="1"/>
  <c r="C81" i="1" s="1"/>
  <c r="B81" i="1"/>
  <c r="D15" i="4"/>
  <c r="D12" i="4"/>
  <c r="C14" i="3"/>
  <c r="C12" i="3"/>
  <c r="C11" i="3"/>
  <c r="C10" i="3"/>
  <c r="J10" i="1" s="1"/>
  <c r="C9" i="3"/>
  <c r="J7" i="1" s="1"/>
  <c r="C8" i="3"/>
  <c r="J8" i="1" s="1"/>
  <c r="C7" i="3"/>
  <c r="J6" i="1" s="1"/>
  <c r="C6" i="3"/>
  <c r="J9" i="1" s="1"/>
</calcChain>
</file>

<file path=xl/sharedStrings.xml><?xml version="1.0" encoding="utf-8"?>
<sst xmlns="http://schemas.openxmlformats.org/spreadsheetml/2006/main" count="12812" uniqueCount="2104">
  <si>
    <t>India semiconductor startup investment screen</t>
  </si>
  <si>
    <t>As of 1 October 2026. Five diligence candidates; valuation, fund mandate and allocation availability remain unverified.</t>
  </si>
  <si>
    <t>Company</t>
  </si>
  <si>
    <t>Investment stance</t>
  </si>
  <si>
    <t>Why it merits diligence</t>
  </si>
  <si>
    <t>Buyer evidence</t>
  </si>
  <si>
    <t>Conditions before investment</t>
  </si>
  <si>
    <t>Stage / financing approach</t>
  </si>
  <si>
    <t>Exit route and constraint</t>
  </si>
  <si>
    <t>Candidate</t>
  </si>
  <si>
    <t>Disclosed funding (USD Mn)</t>
  </si>
  <si>
    <t>Vervesemi Microelectronics</t>
  </si>
  <si>
    <t>Prioritise commercialisation diligence</t>
  </si>
  <si>
    <t>Experienced analog team, fabricated product samples and several industrial use cases offer a credible route to long-lived design wins.</t>
  </si>
  <si>
    <t>Customer evaluation reported, but public names and committed volumes remain limited.</t>
  </si>
  <si>
    <t>Validate qualified SKUs, yields, gross margin after packaging/test, and two independent paying OEM design wins.</t>
  </si>
  <si>
    <t>Series A participation or follow-on after production qualification; avoid pricing IP-count as revenue.</t>
  </si>
  <si>
    <t>Product/IP sale to an analog incumbent or profitable scale-up. No exit value assumed.</t>
  </si>
  <si>
    <t>InCore Semiconductors</t>
  </si>
  <si>
    <t>Prioritise IP commercial diligence</t>
  </si>
  <si>
    <t>Reusable processor IP and design automation can create licensing revenue with less wafer inventory exposure than a chip-product business.</t>
  </si>
  <si>
    <t>Named HCL/Tessolve collaborations and partner-silicon evidence. Licence economics undisclosed.</t>
  </si>
  <si>
    <t>Confirm clean IP ownership, paid licences, customer tape-outs, royalty audit rights and support burden.</t>
  </si>
  <si>
    <t>Seed/Series A growth after paid design wins; reserve capital for engineering and international sales.</t>
  </si>
  <si>
    <t>Processor/IP acquisition or strategic licensing-led growth. RISC-V competition may compress prices.</t>
  </si>
  <si>
    <t>FermionIC Design</t>
  </si>
  <si>
    <t>Prioritise customer qualification diligence</t>
  </si>
  <si>
    <t>Focused RF products, prototype evidence, a global foundry route and distribution channel support a differentiated niche.</t>
  </si>
  <si>
    <t>GF manufacturing agreement and DigiKey channel are verified relationships, not end-customer orders.</t>
  </si>
  <si>
    <t>Obtain customer references, signed qualification milestones, RF reliability results and volume-priced wafer/package quotes.</t>
  </si>
  <si>
    <t>Early growth round tied to customer qualification and first repeat shipments.</t>
  </si>
  <si>
    <t>Strategic acquisition by an RF/analog supplier; defence concentration may constrain growth.</t>
  </si>
  <si>
    <t>Mindgrove Technologies</t>
  </si>
  <si>
    <t>Prioritise first-revenue conversion</t>
  </si>
  <si>
    <t>Working SecureIoT silicon, local application support and specific Indian device use cases reduce initial engineering uncertainty.</t>
  </si>
  <si>
    <t>Bosch/Pinetics relationships and trials are encouraging; recurring order book remains unverified.</t>
  </si>
  <si>
    <t>Confirm paid orders, field failure rates, firmware support cost, delivered unit margin and customer switching economics.</t>
  </si>
  <si>
    <t>Series A follow-on tied to first repeat commercial orders; retain funding for next chip revision.</t>
  </si>
  <si>
    <t>Strategic chip/OEM acquisition or a broader industrial-controller portfolio. Commodity MCU competition is a risk.</t>
  </si>
  <si>
    <t>Maieutic Semiconductors</t>
  </si>
  <si>
    <t>Prioritise paid software pilots</t>
  </si>
  <si>
    <t>Repeat semiconductor founders and reusable design software create a potentially efficient way to monetise scarce analog expertise.</t>
  </si>
  <si>
    <t>No named paying customer verified; investor quality and prior founder exit cannot substitute for software adoption.</t>
  </si>
  <si>
    <t>Require paid pilots, reproducible design-time savings, data-security approval and compatibility with standard EDA flows.</t>
  </si>
  <si>
    <t>Seed/Series A only after pilot evidence; build licence and renewal economics before scaling sales.</t>
  </si>
  <si>
    <t>EDA/engineering-software acquisition or independent licence growth. Incumbent bundling is the main strategic risk.</t>
  </si>
  <si>
    <t>Exclusions and watchlist</t>
  </si>
  <si>
    <t>C2i</t>
  </si>
  <si>
    <t>Infineon acquisition announced August 2026. Treat as an exit precedent, not an available independent startup.</t>
  </si>
  <si>
    <t>Agnit</t>
  </si>
  <si>
    <t>Strong GaN research; manufacturing yield, capital intensity and pilot conversion justify a separate high-risk track.</t>
  </si>
  <si>
    <t>Netrasemi / BigEndian</t>
  </si>
  <si>
    <t>Track software maturity, camera/OEM qualification and repeat orders. Funding and tape-out alone do not establish a commercial moat.</t>
  </si>
  <si>
    <t>Meukron / SimYog</t>
  </si>
  <si>
    <t>Watch manufacturing tools and design software: capital efficiency can be attractive, but repeat sales/renewals need verification.</t>
  </si>
  <si>
    <t>Large fabs / OSAT projects</t>
  </si>
  <si>
    <t>Project capex and subsidy approvals are not VC funding. Corporate ventures and listed companies have different investment structures.</t>
  </si>
  <si>
    <t>Company universe and scope</t>
  </si>
  <si>
    <t>120 entries: 54 company-specific profiles, the complete 103-entry April 2026 EDA roster, plus boundary/discovery entries. This is not a certified census.</t>
  </si>
  <si>
    <t>ID</t>
  </si>
  <si>
    <t>Product / service category</t>
  </si>
  <si>
    <t>Ownership / eligibility boundary</t>
  </si>
  <si>
    <t>State / India link</t>
  </si>
  <si>
    <t>Research coverage</t>
  </si>
  <si>
    <t>Official EDA roster no.</t>
  </si>
  <si>
    <t>Source IDs</t>
  </si>
  <si>
    <t>IN001</t>
  </si>
  <si>
    <t>Embedded processors and edge AI</t>
  </si>
  <si>
    <t>Independent private company</t>
  </si>
  <si>
    <t>Tamil Nadu</t>
  </si>
  <si>
    <t>Company-specific research</t>
  </si>
  <si>
    <t>S002, S003, S004, S005, S006, S001</t>
  </si>
  <si>
    <t>IN002</t>
  </si>
  <si>
    <t>Analog, mixed-signal and power</t>
  </si>
  <si>
    <t>Uttar Pradesh</t>
  </si>
  <si>
    <t>S007, S008, S009, S010, S001</t>
  </si>
  <si>
    <t>IN003</t>
  </si>
  <si>
    <t>RF, radar and wireless chips</t>
  </si>
  <si>
    <t>Karnataka</t>
  </si>
  <si>
    <t>S011, S012, S013, S014, S015, S016, S001</t>
  </si>
  <si>
    <t>IN004</t>
  </si>
  <si>
    <t>Processor and interface IP</t>
  </si>
  <si>
    <t>S017, S018, S019, S020, S021, S001</t>
  </si>
  <si>
    <t>IN005</t>
  </si>
  <si>
    <t>Design software and EDA</t>
  </si>
  <si>
    <t>S022, S023, S024, S025, S001</t>
  </si>
  <si>
    <t>IN006</t>
  </si>
  <si>
    <t>C2i Semiconductors</t>
  </si>
  <si>
    <t>Acquisition announced; exclude from fresh VC shortlist</t>
  </si>
  <si>
    <t>S026, S027, S028, S029, S001</t>
  </si>
  <si>
    <t>IN007</t>
  </si>
  <si>
    <t>Agnit Semiconductors</t>
  </si>
  <si>
    <t>Compound semiconductors and materials</t>
  </si>
  <si>
    <t>S030, S031, S032, S033</t>
  </si>
  <si>
    <t>IN008</t>
  </si>
  <si>
    <t>Netrasemi</t>
  </si>
  <si>
    <t>Kerala</t>
  </si>
  <si>
    <t>S034, S035, S036, S037, S038, S001</t>
  </si>
  <si>
    <t>IN009</t>
  </si>
  <si>
    <t>BigEndian Semiconductors</t>
  </si>
  <si>
    <t>S039, S040, S041, S001</t>
  </si>
  <si>
    <t>IN010</t>
  </si>
  <si>
    <t>Morphing Machines</t>
  </si>
  <si>
    <t>Compute accelerators</t>
  </si>
  <si>
    <t>S042, S043, S044, S045, S001</t>
  </si>
  <si>
    <t>IN011</t>
  </si>
  <si>
    <t>Calligo Technologies</t>
  </si>
  <si>
    <t>S046, S047, S048, S049, S050, S001</t>
  </si>
  <si>
    <t>IN012</t>
  </si>
  <si>
    <t>HrdWyr</t>
  </si>
  <si>
    <t>S051, S052, S053</t>
  </si>
  <si>
    <t>IN013</t>
  </si>
  <si>
    <t>Agrani Labs</t>
  </si>
  <si>
    <t>S054, S055</t>
  </si>
  <si>
    <t>IN014</t>
  </si>
  <si>
    <t>Sensesemi Technologies</t>
  </si>
  <si>
    <t>S056, S057, S001</t>
  </si>
  <si>
    <t>IN015</t>
  </si>
  <si>
    <t>Aheesa Digital Innovations</t>
  </si>
  <si>
    <t>S058, S059, S060, S061, S001</t>
  </si>
  <si>
    <t>IN016</t>
  </si>
  <si>
    <t>Green PMU Semi</t>
  </si>
  <si>
    <t>Telangana</t>
  </si>
  <si>
    <t>S062, S063, S001</t>
  </si>
  <si>
    <t>IN017</t>
  </si>
  <si>
    <t>MOSart Semi</t>
  </si>
  <si>
    <t>S064, S065</t>
  </si>
  <si>
    <t>IN018</t>
  </si>
  <si>
    <t>DV2JS Innovation / 3rdiTech</t>
  </si>
  <si>
    <t>Sensors and MEMS</t>
  </si>
  <si>
    <t>Delhi</t>
  </si>
  <si>
    <t>S066, S067, S068, S001</t>
  </si>
  <si>
    <t>IN019</t>
  </si>
  <si>
    <t>Aryabhata Circuits and Research Labs</t>
  </si>
  <si>
    <t>S069, S070, S001</t>
  </si>
  <si>
    <t>IN020</t>
  </si>
  <si>
    <t>Silizium Circuits</t>
  </si>
  <si>
    <t>S071, S072, S073, S001</t>
  </si>
  <si>
    <t>IN021</t>
  </si>
  <si>
    <t>Sophrosyne Technologies</t>
  </si>
  <si>
    <t>S074, S075, S001</t>
  </si>
  <si>
    <t>IN022</t>
  </si>
  <si>
    <t>MMRFIC Technology</t>
  </si>
  <si>
    <t>S076, S077, S078, S001</t>
  </si>
  <si>
    <t>IN023</t>
  </si>
  <si>
    <t>MBit Wireless</t>
  </si>
  <si>
    <t>Mature private company; India/overseas entity boundary needs diligence</t>
  </si>
  <si>
    <t>S079, S080, S001</t>
  </si>
  <si>
    <t>IN024</t>
  </si>
  <si>
    <t>Multi Nano Sense Technologies</t>
  </si>
  <si>
    <t>Maharashtra</t>
  </si>
  <si>
    <t>S081, S082, S083, S084, S001</t>
  </si>
  <si>
    <t>IN025</t>
  </si>
  <si>
    <t>Incise Infotech</t>
  </si>
  <si>
    <t>Chip-design services</t>
  </si>
  <si>
    <t>Established private services company</t>
  </si>
  <si>
    <t>S085, S086, S087, S001</t>
  </si>
  <si>
    <t>IN026</t>
  </si>
  <si>
    <t>WiSig Networks</t>
  </si>
  <si>
    <t>S088, S089, S090, S091, S001</t>
  </si>
  <si>
    <t>IN027</t>
  </si>
  <si>
    <t>Aagyavision</t>
  </si>
  <si>
    <t>S092, S093, S094, S001</t>
  </si>
  <si>
    <t>IN028</t>
  </si>
  <si>
    <t>Chipspirit Technologies</t>
  </si>
  <si>
    <t>S095, S096, S097, S098, S001</t>
  </si>
  <si>
    <t>IN029</t>
  </si>
  <si>
    <t>SandLogic Technologies</t>
  </si>
  <si>
    <t>S099, S100, S101, S102, S001</t>
  </si>
  <si>
    <t>IN030</t>
  </si>
  <si>
    <t>SimYog Technology</t>
  </si>
  <si>
    <t>S103, S104, S105, S106</t>
  </si>
  <si>
    <t>IN031</t>
  </si>
  <si>
    <t>Ananant Systems</t>
  </si>
  <si>
    <t>S107, S108, S109, S001</t>
  </si>
  <si>
    <t>IN032</t>
  </si>
  <si>
    <t>VASBEAM</t>
  </si>
  <si>
    <t>S110, S111, S112, S001</t>
  </si>
  <si>
    <t>IN033</t>
  </si>
  <si>
    <t>optoML</t>
  </si>
  <si>
    <t>India-linked; Singapore parent / Indian operating entity</t>
  </si>
  <si>
    <t>S113, S114, S115, S116, S117, S001</t>
  </si>
  <si>
    <t>IN034</t>
  </si>
  <si>
    <t>CIMware Technologies</t>
  </si>
  <si>
    <t>Compute systems and adjacent hardware</t>
  </si>
  <si>
    <t>S118, S119, S001</t>
  </si>
  <si>
    <t>IN035</t>
  </si>
  <si>
    <t>Nanojoules Semiconductors</t>
  </si>
  <si>
    <t>S120, S001</t>
  </si>
  <si>
    <t>IN036</t>
  </si>
  <si>
    <t>Terminus Circuits</t>
  </si>
  <si>
    <t>Mature independent private company</t>
  </si>
  <si>
    <t>S121, S122, S001</t>
  </si>
  <si>
    <t>IN037</t>
  </si>
  <si>
    <t>MemSmart</t>
  </si>
  <si>
    <t>S123, S001</t>
  </si>
  <si>
    <t>IN038</t>
  </si>
  <si>
    <t>Quanfluence</t>
  </si>
  <si>
    <t>Photonics and quantum-adjacent hardware</t>
  </si>
  <si>
    <t>S124, S125, S126, S001</t>
  </si>
  <si>
    <t>IN039</t>
  </si>
  <si>
    <t>TriSpace Technologies</t>
  </si>
  <si>
    <t>S127, S128, S001</t>
  </si>
  <si>
    <t>IN040</t>
  </si>
  <si>
    <t>LineSemi Technology</t>
  </si>
  <si>
    <t>S129, S130, S001</t>
  </si>
  <si>
    <t>IN041</t>
  </si>
  <si>
    <t>Blueberry Semiconductors</t>
  </si>
  <si>
    <t>S131, S132, S133</t>
  </si>
  <si>
    <t>IN042</t>
  </si>
  <si>
    <t>SignOff Semiconductors</t>
  </si>
  <si>
    <t>S134, S135, S136</t>
  </si>
  <si>
    <t>IN043</t>
  </si>
  <si>
    <t>Signalchip Innovations</t>
  </si>
  <si>
    <t>S137, S138, S139, S140, S001</t>
  </si>
  <si>
    <t>IN044</t>
  </si>
  <si>
    <t>Suchi Semicon</t>
  </si>
  <si>
    <t>Packaging, assembly and testing</t>
  </si>
  <si>
    <t>Promoter-backed private manufacturing venture</t>
  </si>
  <si>
    <t>Gujarat</t>
  </si>
  <si>
    <t>S141, S142, S143, S144</t>
  </si>
  <si>
    <t>IN045</t>
  </si>
  <si>
    <t>RRP Electronics</t>
  </si>
  <si>
    <t>Promoter-backed private manufacturing venture; distinguish from listed RRP entities</t>
  </si>
  <si>
    <t>S145, S146, S147</t>
  </si>
  <si>
    <t>IN046</t>
  </si>
  <si>
    <t>Ceremorphic</t>
  </si>
  <si>
    <t>India-linked; US-headquartered with Indian R&amp;D</t>
  </si>
  <si>
    <t>Telangana / US headquarters</t>
  </si>
  <si>
    <t>S148, S149, S150</t>
  </si>
  <si>
    <t>IN047</t>
  </si>
  <si>
    <t>Tattvam AI</t>
  </si>
  <si>
    <t>India-origin; overseas headquarters, outside India-core startup count</t>
  </si>
  <si>
    <t>London / India-origin founder</t>
  </si>
  <si>
    <t>S151</t>
  </si>
  <si>
    <t>IN048</t>
  </si>
  <si>
    <t>Aura Semiconductor</t>
  </si>
  <si>
    <t>Mature India-origin multinational; ownership/product perimeter needs review</t>
  </si>
  <si>
    <t>S152, S153, S154</t>
  </si>
  <si>
    <t>IN049</t>
  </si>
  <si>
    <t>SiCSem</t>
  </si>
  <si>
    <t>Archean Chemical Industries-backed corporate venture</t>
  </si>
  <si>
    <t>Odisha</t>
  </si>
  <si>
    <t>S155, S156, S157</t>
  </si>
  <si>
    <t>IN050</t>
  </si>
  <si>
    <t>Saankhya Labs</t>
  </si>
  <si>
    <t>Acquired / Tejas Networks group; not independent VC candidate</t>
  </si>
  <si>
    <t>S158, S159, S001</t>
  </si>
  <si>
    <t>IN051</t>
  </si>
  <si>
    <t>Meukron Technologies</t>
  </si>
  <si>
    <t>Manufacturing equipment and process tools</t>
  </si>
  <si>
    <t>S160, S161, S162</t>
  </si>
  <si>
    <t>IN052</t>
  </si>
  <si>
    <t>LeadSOC Technologies</t>
  </si>
  <si>
    <t>S163, S164, S001</t>
  </si>
  <si>
    <t>IN053</t>
  </si>
  <si>
    <t>BITSILICA</t>
  </si>
  <si>
    <t>Acquired by Quest Global; not independent VC candidate</t>
  </si>
  <si>
    <t>S165, S166, S001</t>
  </si>
  <si>
    <t>IN054</t>
  </si>
  <si>
    <t>IndieSemiC</t>
  </si>
  <si>
    <t>S167, S168, S169, S170, S171, S001</t>
  </si>
  <si>
    <t>IN055</t>
  </si>
  <si>
    <t>Stteereng Silicon</t>
  </si>
  <si>
    <t>Chip design — product category unverified</t>
  </si>
  <si>
    <t>Programme-listed entity; startup independence unverified</t>
  </si>
  <si>
    <t>Roster only — company-level diligence outstanding</t>
  </si>
  <si>
    <t>S001</t>
  </si>
  <si>
    <t>IN056</t>
  </si>
  <si>
    <t>Silicon Support Solution (OPC)</t>
  </si>
  <si>
    <t>IN057</t>
  </si>
  <si>
    <t>Tsilicon</t>
  </si>
  <si>
    <t>IN058</t>
  </si>
  <si>
    <t>Semiksha Semiconductors</t>
  </si>
  <si>
    <t>IN059</t>
  </si>
  <si>
    <t>iSOC Semiconductors</t>
  </si>
  <si>
    <t>IN060</t>
  </si>
  <si>
    <t>PrimeSOC Technologies LLP</t>
  </si>
  <si>
    <t>IN061</t>
  </si>
  <si>
    <t>Ciliconchip Circuit</t>
  </si>
  <si>
    <t>IN062</t>
  </si>
  <si>
    <t>Memrym Solutions India</t>
  </si>
  <si>
    <t>IN063</t>
  </si>
  <si>
    <t>MAXVY Technologies</t>
  </si>
  <si>
    <t>IN064</t>
  </si>
  <si>
    <t>Trellisign Tech.</t>
  </si>
  <si>
    <t>IN065</t>
  </si>
  <si>
    <t>Semicon Design Technologies</t>
  </si>
  <si>
    <t>IN066</t>
  </si>
  <si>
    <t>Signitude</t>
  </si>
  <si>
    <t>IN067</t>
  </si>
  <si>
    <t>XtremeSilica Technologies</t>
  </si>
  <si>
    <t>IN068</t>
  </si>
  <si>
    <t>Selenean Technologies</t>
  </si>
  <si>
    <t>IN069</t>
  </si>
  <si>
    <t>Univision Technology Solutions</t>
  </si>
  <si>
    <t>IN070</t>
  </si>
  <si>
    <t>Sophic Silicon Technologies</t>
  </si>
  <si>
    <t>IN071</t>
  </si>
  <si>
    <t>Aritrak Technologies</t>
  </si>
  <si>
    <t>IN072</t>
  </si>
  <si>
    <t>Xsoc Technologies</t>
  </si>
  <si>
    <t>IN073</t>
  </si>
  <si>
    <t>Velloresemicon</t>
  </si>
  <si>
    <t>IN074</t>
  </si>
  <si>
    <t>Interex Semiconductor</t>
  </si>
  <si>
    <t>IN075</t>
  </si>
  <si>
    <t>Banashree Renewable Energy System</t>
  </si>
  <si>
    <t>IN076</t>
  </si>
  <si>
    <t>Astrome Technologies</t>
  </si>
  <si>
    <t>IN077</t>
  </si>
  <si>
    <t>Baremetal Turnkey Products LLP</t>
  </si>
  <si>
    <t>IN078</t>
  </si>
  <si>
    <t>Secure Machines</t>
  </si>
  <si>
    <t>IN079</t>
  </si>
  <si>
    <t>Intsemi Technologies</t>
  </si>
  <si>
    <t>IN080</t>
  </si>
  <si>
    <t>ARIES BioMed Technologies</t>
  </si>
  <si>
    <t>IN081</t>
  </si>
  <si>
    <t>Struent Semiconductors</t>
  </si>
  <si>
    <t>IN082</t>
  </si>
  <si>
    <t>PRSsemicon Technologies</t>
  </si>
  <si>
    <t>IN083</t>
  </si>
  <si>
    <t>Sicrest Semiconductors</t>
  </si>
  <si>
    <t>IN084</t>
  </si>
  <si>
    <t>Asnaviram Networks</t>
  </si>
  <si>
    <t>IN085</t>
  </si>
  <si>
    <t>Drakon Innovations</t>
  </si>
  <si>
    <t>IN086</t>
  </si>
  <si>
    <t>Dheyo AI</t>
  </si>
  <si>
    <t>IN087</t>
  </si>
  <si>
    <t>AMPICQ</t>
  </si>
  <si>
    <t>IN088</t>
  </si>
  <si>
    <t>Manjeera Digital Systems</t>
  </si>
  <si>
    <t>IN089</t>
  </si>
  <si>
    <t>Spintronics AI Semiconductors</t>
  </si>
  <si>
    <t>IN090</t>
  </si>
  <si>
    <t>SmartKosh Technologies</t>
  </si>
  <si>
    <t>IN091</t>
  </si>
  <si>
    <t>Vconnectech Systems</t>
  </si>
  <si>
    <t>IN092</t>
  </si>
  <si>
    <t>Speedbus Semiconductors</t>
  </si>
  <si>
    <t>IN093</t>
  </si>
  <si>
    <t>WnPSemicon LLP</t>
  </si>
  <si>
    <t>IN094</t>
  </si>
  <si>
    <t>Sigan Semiconductors OPC</t>
  </si>
  <si>
    <t>IN095</t>
  </si>
  <si>
    <t>Vaaluka Solutions</t>
  </si>
  <si>
    <t>IN096</t>
  </si>
  <si>
    <t>Avecas Technologies</t>
  </si>
  <si>
    <t>IN097</t>
  </si>
  <si>
    <t>Qualivon Technologies</t>
  </si>
  <si>
    <t>IN098</t>
  </si>
  <si>
    <t>Panache Digilife</t>
  </si>
  <si>
    <t>Listed electronics / engineering incumbent</t>
  </si>
  <si>
    <t>Listed incumbent; not a startup investment candidate</t>
  </si>
  <si>
    <t>IN099</t>
  </si>
  <si>
    <t>Tahinium Technologies</t>
  </si>
  <si>
    <t>IN100</t>
  </si>
  <si>
    <t>Imumbai Semiconductors</t>
  </si>
  <si>
    <t>IN101</t>
  </si>
  <si>
    <t>Pentarisc Systems</t>
  </si>
  <si>
    <t>IN102</t>
  </si>
  <si>
    <t>Phra Narai Semicon Systems Labs</t>
  </si>
  <si>
    <t>Assam</t>
  </si>
  <si>
    <t>IN103</t>
  </si>
  <si>
    <t>Synchronous Drives And Inverters</t>
  </si>
  <si>
    <t>IN104</t>
  </si>
  <si>
    <t>Vicharak Computers</t>
  </si>
  <si>
    <t>IN105</t>
  </si>
  <si>
    <t>Artronics</t>
  </si>
  <si>
    <t>IN106</t>
  </si>
  <si>
    <t>Sikern Semiconductor</t>
  </si>
  <si>
    <t>IN107</t>
  </si>
  <si>
    <t>Inquantumshift Labs</t>
  </si>
  <si>
    <t>IN108</t>
  </si>
  <si>
    <t>Reslink Technologies</t>
  </si>
  <si>
    <t>IN109</t>
  </si>
  <si>
    <t>Truesilicon Technologies</t>
  </si>
  <si>
    <t>IN110</t>
  </si>
  <si>
    <t>Keenheads Technologies</t>
  </si>
  <si>
    <t>IN111</t>
  </si>
  <si>
    <t>Linearized Amplifier Tech. and Services</t>
  </si>
  <si>
    <t>Uttarakhand</t>
  </si>
  <si>
    <t>IN112</t>
  </si>
  <si>
    <t>Orvis Semi</t>
  </si>
  <si>
    <t>IN113</t>
  </si>
  <si>
    <t>CryoLogiq Semiconductors</t>
  </si>
  <si>
    <t>IN114</t>
  </si>
  <si>
    <t>Syrma SGS Technology And Engineering Services Ltd.</t>
  </si>
  <si>
    <t>Haryana</t>
  </si>
  <si>
    <t>IN115</t>
  </si>
  <si>
    <t>Krisemi Design Technologies</t>
  </si>
  <si>
    <t>Andhra Pradesh</t>
  </si>
  <si>
    <t>IN116</t>
  </si>
  <si>
    <t>SemiFront Technologies</t>
  </si>
  <si>
    <t>West Bengal</t>
  </si>
  <si>
    <t>IN117</t>
  </si>
  <si>
    <t>Aantaric Technologies</t>
  </si>
  <si>
    <t>IN118</t>
  </si>
  <si>
    <t>MosChip Technologies</t>
  </si>
  <si>
    <t>Programme / incumbent context</t>
  </si>
  <si>
    <t>S172, S001</t>
  </si>
  <si>
    <t>IN119</t>
  </si>
  <si>
    <t>Elphins Technologies</t>
  </si>
  <si>
    <t>Photonics — detailed product unverified</t>
  </si>
  <si>
    <t>Emerging private venture; ownership verification pending</t>
  </si>
  <si>
    <t>India</t>
  </si>
  <si>
    <t>Event lead — company-level diligence outstanding</t>
  </si>
  <si>
    <t>S173</t>
  </si>
  <si>
    <t>IN120</t>
  </si>
  <si>
    <t>CraftifAI Technologies</t>
  </si>
  <si>
    <t>Design software — detailed product unverified</t>
  </si>
  <si>
    <t>S174</t>
  </si>
  <si>
    <t>Funding totals and reconciliation</t>
  </si>
  <si>
    <t>Blank numeric cells mean unavailable, never zero. Totals have different disclosure completeness; do not sum the column as sector funding.</t>
  </si>
  <si>
    <t>Reported / reconstructed total (USD Mn)</t>
  </si>
  <si>
    <t>Disclosed rounds / events</t>
  </si>
  <si>
    <t>Last financing date</t>
  </si>
  <si>
    <t>Date precision</t>
  </si>
  <si>
    <t>Investors / financing source</t>
  </si>
  <si>
    <t>Basis, discrepancy and completeness</t>
  </si>
  <si>
    <t>2024-12</t>
  </si>
  <si>
    <t>Month</t>
  </si>
  <si>
    <t>Peak XV, Speciale, Whiteboard; Mela and other Series A investors</t>
  </si>
  <si>
    <t>USD 2.32 Mn seed + USD 8 Mn Series A; disclosed equity only.</t>
  </si>
  <si>
    <t>Day</t>
  </si>
  <si>
    <t>Ashish Kacholia, Unicorn India Ventures, Roots Ventures, Caperize, MAIQ</t>
  </si>
  <si>
    <t>USD 10 Mn Series A is the publicly quantified round. Earlier private capital, if any, is not reconciled.</t>
  </si>
  <si>
    <t>2024</t>
  </si>
  <si>
    <t>Year</t>
  </si>
  <si>
    <t>Ashish Kacholia and associates</t>
  </si>
  <si>
    <t>USD 6 Mn disclosed round; sources disagree on month (September versus December 2024), so year precision is retained.</t>
  </si>
  <si>
    <t>2023-05</t>
  </si>
  <si>
    <t>Peak XV / then Sequoia Capital India</t>
  </si>
  <si>
    <t>USD 3 Mn seed, rounded from database USD 2.99 Mn. No later closed round verified.</t>
  </si>
  <si>
    <t>Endiya Partners, Exfinity Venture Partners, UTEC</t>
  </si>
  <si>
    <t>One seed round expanded from USD 4.15 Mn to USD 6 Mn. Do not add the two announcements. Last date is public expanded-round announcement.</t>
  </si>
  <si>
    <t>Yali, Lip-Bu Tan, Peak XV, TDK Ventures</t>
  </si>
  <si>
    <t>USD 4 Mn seed plus USD 16.7 Mn expanded Series A. February USD 15 Mn was part of the same A. Acquisition price undisclosed and excluded.</t>
  </si>
  <si>
    <t>2026-03</t>
  </si>
  <si>
    <t>Lakshmi Narayanan / angels; 3one4, Zephyr Peacock, Shastra VC</t>
  </si>
  <si>
    <t>Provisional disclosed-event sum: USD 1.3 Mn angel (2021) + 3.5 Mn seed (2024) + 2.6 Mn extension (2026). Some databases show only USD 6.1 Mn/2 events; older total USD 4.87 Mn also differs. Confirm cap table; do not average different scopes.</t>
  </si>
  <si>
    <t>Unicorn India Ventures, Zoho and earlier investors</t>
  </si>
  <si>
    <t>Tracxn FY25–26 reports USD 14.6 Mn. Disclosed INR events: 8.3 crore seed + 10 crore pre-A + 107 crore A = 125.3 crore. Inc42 USD 13.6 Mn/2 rounds appears to omit an earlier round. No averaging across scopes.</t>
  </si>
  <si>
    <t>Vertex Ventures, IAN Alpha, IvyCap and others</t>
  </si>
  <si>
    <t>USD 3 Mn seed (2024) plus USD 6 Mn pre-Series A (2026).</t>
  </si>
  <si>
    <t>Speciale and other disclosed syndicate investors; validate full cap table</t>
  </si>
  <si>
    <t>Inc42 database total and event count. Latest INR 42 crore extension took Series A to INR 80 crore; do not add INR 80 crore on top of the extension. Underlying 4-event ledger not fully public.</t>
  </si>
  <si>
    <t>Seafund, Artha, Karnataka semiconductor fund and others</t>
  </si>
  <si>
    <t>Caplight total USD 2.67 Mn and Crunchbase 3 events; only USD 1.1 Mn April 2025 pre-A is directly quantified in recent reporting. Inc42 shows USD 1.1 Mn/2 events. Proposed USD 12–15 Mn 2026 raise excluded.</t>
  </si>
  <si>
    <t>Ideaspring, Singularity, Avatar, Persistent Systems</t>
  </si>
  <si>
    <t>USD 13 Mn Series A; 1 quantified publicly disclosed financing event, not proof of no earlier capital.</t>
  </si>
  <si>
    <t>Peak XV and angels</t>
  </si>
  <si>
    <t>USD 8 Mn seed announced January 2026. Database USD 15.3 Mn/2 events may overlap earlier closing; not added without reconciliation. Reported USD 50 Mn discussions excluded.</t>
  </si>
  <si>
    <t>Piper Serica and angel/investor syndicate</t>
  </si>
  <si>
    <t>INR 25 crore seed, reported approximately USD 2.7 Mn; announcement-day difference across databases.</t>
  </si>
  <si>
    <t>2026</t>
  </si>
  <si>
    <t>TNIFMC / TNESSF and private investors</t>
  </si>
  <si>
    <t>PIB reports about INR 40 crore raised across successive rounds during 2026. TNIFMC announced INR 20 crore in March. Full round count and latest closing date remain unverified; public-fund equity is not subsidy.</t>
  </si>
  <si>
    <t>Unverified</t>
  </si>
  <si>
    <t>Not publicly verified</t>
  </si>
  <si>
    <t>No reliable company-specific total, round count or last financing date found in reviewed sources.</t>
  </si>
  <si>
    <t>Berkeley SkyDeck; other strategic investors undisclosed</t>
  </si>
  <si>
    <t>CB Insights records USD 0.11 Mn convertible note. This is a known historical event, not a complete lifetime funding total; later strategic investors reported without amounts.</t>
  </si>
  <si>
    <t>Bluehill VC</t>
  </si>
  <si>
    <t>USD 2 Mn seed; database header shows 20 November while announcement/FAQ shows 21 November.</t>
  </si>
  <si>
    <t>Sansera Engineering; earlier investors require reconciliation</t>
  </si>
  <si>
    <t>Sansera INR 20 crore investment for 22% reported in 2023-era disclosures. Lifetime equity total and complete round count not verified.</t>
  </si>
  <si>
    <t>Public development finance separately recorded</t>
  </si>
  <si>
    <t>Equity funding not reconciled. CB Insights labels historical USD 0.41 Mn as grant, while company/TDB sources indicate soft-loan support; excluded from equity.</t>
  </si>
  <si>
    <t>Funding composition requires confirmation</t>
  </si>
  <si>
    <t>Bharat Innovates 2026 profile reports USD 1 Mn funding; equity-versus-grant split, round count and latest financing date not disclosed.</t>
  </si>
  <si>
    <t>2021</t>
  </si>
  <si>
    <t>SFAL / incubator support; instrument classification to confirm</t>
  </si>
  <si>
    <t>Crunchbase records one financing round; amount undisclosed. CB Insights gives January 2021 but precise date is not independently confirmed.</t>
  </si>
  <si>
    <t>2022-02</t>
  </si>
  <si>
    <t>Texas-based HNIs; full investor/instrument ledger to verify</t>
  </si>
  <si>
    <t>USD 4 Mn historical funding reported. Crunchbase counts 3 events but full instrument ledger is inaccessible. USD 30–40 Mn 2025 financing discussions are not a closed round.</t>
  </si>
  <si>
    <t>Mela Ventures, 1Crowd, Ideaspring, Bosch</t>
  </si>
  <si>
    <t>Crunchbase reports 3 rounds. INR 20 crore Series A (about USD 2.4 Mn) in December 2023 and INR 6.3 crore earlier round reported. Complete total not reconciled.</t>
  </si>
  <si>
    <t>SIIC ecosystem and undisclosed investors</t>
  </si>
  <si>
    <t>Bharat Innovates 2026 profile reports approximately USD 3 Mn. Complete round dates/count undisclosed. September USD 5 Mn proposed government/RDI raise excluded.</t>
  </si>
  <si>
    <t>Bluehill VC, A99</t>
  </si>
  <si>
    <t>USD 1.8 Mn pre-Series A/seed (stage terminology differs by source).</t>
  </si>
  <si>
    <t>Transition VC</t>
  </si>
  <si>
    <t>USD 2.3 Mn pre-Series A / first disclosed equity round.</t>
  </si>
  <si>
    <t>pi Ventures, Golden Sparrow, Reena Dayal and others</t>
  </si>
  <si>
    <t>USD 2 Mn seed equity. Government grants excluded.</t>
  </si>
  <si>
    <t>Inc42 classifies as bootstrapped. No external funding amount or lifetime round count independently verified.</t>
  </si>
  <si>
    <t>Inc42 classifies as bootstrapped; no external total verified.</t>
  </si>
  <si>
    <t>Sridhar Vembu; other support needs reconciliation</t>
  </si>
  <si>
    <t>Investment support disclosed without a reconciled lifetime dollar total or complete round history.</t>
  </si>
  <si>
    <t>Promoters / friends and family; full debt/equity split not public</t>
  </si>
  <si>
    <t>Promoter/textile-business capital and friends-and-family financing reported. Planned USD 100 Mn investment is project capex, not VC raised.</t>
  </si>
  <si>
    <t>Founders</t>
  </si>
  <si>
    <t>USD 50 Mn Series A funded by founders. Do not characterise as third-party institutional VC capital.</t>
  </si>
  <si>
    <t>Seedcamp, EWOR, Entropy, Concept and angels</t>
  </si>
  <si>
    <t>USD 1.7 Mn pre-seed.</t>
  </si>
  <si>
    <t>2016-10</t>
  </si>
  <si>
    <t>Celesta / Walden Riverwood</t>
  </si>
  <si>
    <t>One disclosed Series A, amount undisclosed. Asset-sale proceeds are not equity financing.</t>
  </si>
  <si>
    <t>Ducon Consultants, GUSEC / AIC GUSEC (database-listed)</t>
  </si>
  <si>
    <t>Company Check reports USD 0.7401 Mn across 3 rounds. Instrument mix and latest round date unverified; may include incubator/public seed support.</t>
  </si>
  <si>
    <t>Not researched beyond official programme roster. Funding total, rounds and last date are not established.</t>
  </si>
  <si>
    <t>Disclosed financing events</t>
  </si>
  <si>
    <t>Incremental extensions are separated from full round sizes. Incomplete histories are explicitly marked in Funding; dates reflect announcement precision.</t>
  </si>
  <si>
    <t>Round / event</t>
  </si>
  <si>
    <t>Announcement / closing date</t>
  </si>
  <si>
    <t>Incremental USD Mn</t>
  </si>
  <si>
    <t>Original INR crore</t>
  </si>
  <si>
    <t>Instrument / classification</t>
  </si>
  <si>
    <t>Reconciliation note</t>
  </si>
  <si>
    <t>Seed</t>
  </si>
  <si>
    <t>2023-02</t>
  </si>
  <si>
    <t>Equity</t>
  </si>
  <si>
    <t>Disclosed seed round.</t>
  </si>
  <si>
    <t>Series A</t>
  </si>
  <si>
    <t>Separate financing round.</t>
  </si>
  <si>
    <t>Earlier funding not reconciled.</t>
  </si>
  <si>
    <t>Disclosed round</t>
  </si>
  <si>
    <t>Month conflicts between sources; year only.</t>
  </si>
  <si>
    <t>USD 2.99 Mn database figure rounded to USD 3 Mn.</t>
  </si>
  <si>
    <t>Seed initial close</t>
  </si>
  <si>
    <t>Part of the seed round later expanded to USD 6 Mn.</t>
  </si>
  <si>
    <t>Seed extension</t>
  </si>
  <si>
    <t>Equity extension</t>
  </si>
  <si>
    <t>Incremental amount derived as 6.00 minus 4.15; not a second independent seed round.</t>
  </si>
  <si>
    <t>Announcement in November; investor timeline says October close.</t>
  </si>
  <si>
    <t>Series A initial close</t>
  </si>
  <si>
    <t>Part of expanded Series A.</t>
  </si>
  <si>
    <t>Series A extension</t>
  </si>
  <si>
    <t>Incremental amount derived as 16.70 minus 15.00. Acquisition consideration excluded.</t>
  </si>
  <si>
    <t>Angel</t>
  </si>
  <si>
    <t>Equity — historical report</t>
  </si>
  <si>
    <t>Older event omitted from some database totals; cap-table confirmation required.</t>
  </si>
  <si>
    <t>2024-10</t>
  </si>
  <si>
    <t>USD 3.5 Mn reported.</t>
  </si>
  <si>
    <t>3 funding events including 2021 angel, not necessarily 3 priced institutional rounds.</t>
  </si>
  <si>
    <t>Equity — reported</t>
  </si>
  <si>
    <t>Date not verified. INR is source currency.</t>
  </si>
  <si>
    <t>Pre-Series A</t>
  </si>
  <si>
    <t>Do not convert each event using an invented current FX rate.</t>
  </si>
  <si>
    <t>USD total in Funding tab uses reported Tracxn total, not a conversion of this row.</t>
  </si>
  <si>
    <t>USD 3 Mn.</t>
  </si>
  <si>
    <t>USD 6 Mn.</t>
  </si>
  <si>
    <t>Disclosed private financing</t>
  </si>
  <si>
    <t>See Funding tab for completeness and instrument limitations.</t>
  </si>
  <si>
    <t>Seed announcement</t>
  </si>
  <si>
    <t>Pre-Series A / seed</t>
  </si>
  <si>
    <t>Pre-seed</t>
  </si>
  <si>
    <t>Founder-financed Series A</t>
  </si>
  <si>
    <t>Disclosed funding</t>
  </si>
  <si>
    <t>Convertible note</t>
  </si>
  <si>
    <t>USD approximation as reported; original INR 25 crore.</t>
  </si>
  <si>
    <t>TNIFMC agreement</t>
  </si>
  <si>
    <t>Public-fund equity</t>
  </si>
  <si>
    <t>Part of about INR 40 crore cumulative 2026 funding reported by PIB. Remaining capital has no separately verified event date. Not a subsidy.</t>
  </si>
  <si>
    <t>Latest disclosed round only; earlier rounds omitted here where exact dates are unresolved.</t>
  </si>
  <si>
    <t>Founders and relevant experience</t>
  </si>
  <si>
    <t>Founder status is distinguished from CEO, adviser and director status. Unverified full founding teams are flagged.</t>
  </si>
  <si>
    <t>Founders / role qualification</t>
  </si>
  <si>
    <t>Relevant background</t>
  </si>
  <si>
    <t>Repeat founder / professor / employer flags</t>
  </si>
  <si>
    <t>Shashwath T R; Sharan Srinivas J (also known as Sharan Jagathrakshakan)</t>
  </si>
  <si>
    <t>Engineering founders with embedded-computing experience. IIT Madras incubation and SHAKTI ecosystem. Do not confuse Sharan with the Perplexity founder.</t>
  </si>
  <si>
    <t>Technical founders; IIT Madras ecosystem</t>
  </si>
  <si>
    <t>Rakesh Malik; Pratap Narayan Singh</t>
  </si>
  <si>
    <t>Malik previously held senior roles at STMicroelectronics. Singh worked on converters at STMicroelectronics and on audio/power at Wolfson. Their experience is directly relevant to precision analog design.</t>
  </si>
  <si>
    <t>Ex-global semiconductor employees; experienced founders</t>
  </si>
  <si>
    <t>Gautam Kumar Singh; Prasun Bhattacharyya; Abhra Bagchi; Shabaaz Syed</t>
  </si>
  <si>
    <t>Experienced RF, mixed-signal and chip-integration team. Individual prior employers and full employment chronology require confirmation.</t>
  </si>
  <si>
    <t>Experienced semiconductor founders</t>
  </si>
  <si>
    <t>G S Madhusudan; Neel Gala; Arjun Menon; Gautam Doshi</t>
  </si>
  <si>
    <t>Team emerged from the IIT Madras SHAKTI processor ecosystem. Madhusudan combines industry and systems experience; Gala and Menon bring processor research/design expertise. Professor V. Kamakoti is an ecosystem mentor, not automatically a founder.</t>
  </si>
  <si>
    <t>Research-to-commercialisation; experienced processor team</t>
  </si>
  <si>
    <t>Gireesh Rajendran; Ashish Lachhwani; Rakesh Kumar; Krishna Sankar</t>
  </si>
  <si>
    <t>Founding team includes Steradian entrepreneurs whose radar business was acquired by Renesas in 2022, alongside analog-design expertise. Prior exit is evidence of execution, not a promised repeat outcome.</t>
  </si>
  <si>
    <t>Repeat founders; prior semiconductor exit</t>
  </si>
  <si>
    <t>Ram Anant; Preetam Tadeparthy; Vikram Gakhar; B S Dattatreya. Reporting also identifies Harsha S B and Muthusubramanian N V as co-founders.</t>
  </si>
  <si>
    <t>Former Texas Instruments power and analog executives. Founders’ experience spans control, mixed-signal and power design.</t>
  </si>
  <si>
    <t>Ex-Texas Instruments; announced strategic exit</t>
  </si>
  <si>
    <t>Hareesh Chandrasekar; Madhusudan Atre; Mayank Shrivastava; Digbijoy Nath; Muralidharan Rangarajan; Shankar Kumar Selvaraja; Srinivasan Raghavan</t>
  </si>
  <si>
    <t>IISc faculty/research spin-out supported by experienced semiconductor leadership. Combines device/materials research with commercialisation expertise.</t>
  </si>
  <si>
    <t>Professor founders; research spin-out; industry veteran</t>
  </si>
  <si>
    <t>Jyothis Indirabhai; Sreejith Varma; Deepa Geetha</t>
  </si>
  <si>
    <t>Experienced semiconductor team based in Thiruvananthapuram. Detailed individual prior-employer chronology remains to be independently checked.</t>
  </si>
  <si>
    <t>Sunil Kumar; Renuka Prasad; Harpreet Wadhawan; Dinesh Annayya; Kanagaraju Ponnusamy; Jansen Cheng (reported founding team)</t>
  </si>
  <si>
    <t>Team experience includes Arm, Intel and Broadcom. Verify each founder’s role and IP-assignment history.</t>
  </si>
  <si>
    <t>Ex-global semiconductor team</t>
  </si>
  <si>
    <t>S K Nandy; Ranjani Narayan; Deepak Shapeti (current company founding/leadership team)</t>
  </si>
  <si>
    <t>IISc research origins with academic and processor-architecture expertise. Deepak Shapeti joined the commercial leadership later than the original 2005 foundation.</t>
  </si>
  <si>
    <t>Professor/research founders; long development history</t>
  </si>
  <si>
    <t>Anantha Padmanabha Kinnal; Rajaraman Subramanian</t>
  </si>
  <si>
    <t>Experienced computing/semiconductor entrepreneurs. Detailed prior employment requires confirmation.</t>
  </si>
  <si>
    <t>Experienced technical founders</t>
  </si>
  <si>
    <t>Ramamurthy Sivakumar; Guruswamy Ganesh</t>
  </si>
  <si>
    <t>Sivakumar was Intel South Asia managing director. Ganesh was a Western Digital senior executive. Investor material identifies Rajan Kapoor, ex-NXP, as senior architecture leadership, not automatically a founder.</t>
  </si>
  <si>
    <t>Ex-Intel / Western Digital; experienced executives</t>
  </si>
  <si>
    <t>Dheemanth Nagaraj; Ashok Jagannathan; Srikanth Nimmagadda; Rajesh Vivekanandham</t>
  </si>
  <si>
    <t>Former Intel/AMD engineers with advanced processor experience. Vinod Dham is an adviser; do not count him as a founder solely from advisory involvement.</t>
  </si>
  <si>
    <t>Ex-Intel / AMD; experienced chip architects</t>
  </si>
  <si>
    <t>Vijay Muktamath; Namit Varma</t>
  </si>
  <si>
    <t>Semiconductor/embedded-design founding team; detailed career history not independently verified.</t>
  </si>
  <si>
    <t>Technical founders</t>
  </si>
  <si>
    <t>Sridharan Mani (founder/CEO); complete founding team not verified</t>
  </si>
  <si>
    <t>Networking and semiconductor entrepreneur; precise employer history not verified.</t>
  </si>
  <si>
    <t>Technical founder</t>
  </si>
  <si>
    <t>R Sai Chandra Teja; Ashudeb Dutta</t>
  </si>
  <si>
    <t>IIT Hyderabad-associated founder/research team; Dutta is an academic with integrated-circuit expertise.</t>
  </si>
  <si>
    <t>Professor founder; research spin-out</t>
  </si>
  <si>
    <t>Rajesh Gupta (CEO); full founding team not verified</t>
  </si>
  <si>
    <t>Experienced battery-management engineering team. Previous-employer products used by Tesla/BMW must not be represented as MOSart customer wins.</t>
  </si>
  <si>
    <t>Experienced semiconductor team</t>
  </si>
  <si>
    <t>Vrinda Kapoor; Vinayak Dalmia</t>
  </si>
  <si>
    <t>IIT Delhi-incubated imaging-semiconductor venture. Founders combine commercial/strategic leadership with an academic technology base; complete technical-founder/IP ownership history needs diligence.</t>
  </si>
  <si>
    <t>University-incubated; strategic electronics</t>
  </si>
  <si>
    <t>Tushar Bhattacharyya; complete founding team not verified</t>
  </si>
  <si>
    <t>Bhattacharyya has experience at Qualcomm, Renesas and Intersil according to founder reporting.</t>
  </si>
  <si>
    <t>Ex-global semiconductor employee</t>
  </si>
  <si>
    <t>Rijin John; Arun Ashok</t>
  </si>
  <si>
    <t>John has Bell Labs research experience; Ashok brings analog/RF research expertise. IIT Hyderabad FabCI-associated startup.</t>
  </si>
  <si>
    <t>Research founders; global-lab experience</t>
  </si>
  <si>
    <t>Manish Srivastava; Jatin Gupta; Neeraja Sivuni (database-listed)</t>
  </si>
  <si>
    <t>Healthcare-focused chip-design team. Full founder employment and academic history not independently verified.</t>
  </si>
  <si>
    <t>Saravana G / Saravana Kumar (founder, CEO and CTO); other founding members not fully verified</t>
  </si>
  <si>
    <t>Team includes former Texas Instruments engineers. Founder biography also describes IBM experience and an earlier venture, Nattel Microsystems.</t>
  </si>
  <si>
    <t>Repeat founder; ex-global semiconductor team</t>
  </si>
  <si>
    <t>Arumugam Govindswamy (database-listed); full founding team unverified</t>
  </si>
  <si>
    <t>Established wireless-chip business incorporated in India in 2007. Do not treat it as a newly founded startup.</t>
  </si>
  <si>
    <t>Established wireless company</t>
  </si>
  <si>
    <t>R Vasant Kumar; Ashokkumar Ramchandran; Shashank Kumar</t>
  </si>
  <si>
    <t>Vasant Kumar is a professor/materials researcher; Ramchandran invented hydrogen-sensing technology; Shashank Kumar is a chartered accountant and commercial co-founder.</t>
  </si>
  <si>
    <t>Professor founder; multidisciplinary team</t>
  </si>
  <si>
    <t>Full founding team not verified; Rakesh Adhikari is managing director</t>
  </si>
  <si>
    <t>Semiconductor and embedded-software services leadership. A managing-director title alone is not proof of founding status.</t>
  </si>
  <si>
    <t>Experienced services management</t>
  </si>
  <si>
    <t>Kiran Kuchi</t>
  </si>
  <si>
    <t>IIT Hyderabad electrical-engineering professor and wireless-communications researcher.</t>
  </si>
  <si>
    <t>Professor founder; university spin-out</t>
  </si>
  <si>
    <t>Gaurab Banerjee (founder/CTO); Suchismita Banerjee (CEO, founding role to confirm)</t>
  </si>
  <si>
    <t>IISc professor-led radar research commercialisation. Distinguish verified founder roles from current management roles.</t>
  </si>
  <si>
    <t>Professor founder; IISc spin-out</t>
  </si>
  <si>
    <t>Mohan Jindal</t>
  </si>
  <si>
    <t>Semiconductor-design entrepreneur; team experience includes Intel, Broadcom and Synopsys. Individual founder employer chronology not verified.</t>
  </si>
  <si>
    <t>Experienced design team</t>
  </si>
  <si>
    <t>Kamalakar Devaki; Radhika Kanigiri</t>
  </si>
  <si>
    <t>Enterprise-AI and embedded-technology entrepreneurs; detailed employer histories not verified.</t>
  </si>
  <si>
    <t>Software-to-silicon team</t>
  </si>
  <si>
    <t>Dipanjan Gope; complete founding team requires confirmation</t>
  </si>
  <si>
    <t>IISc professor and electromagnetic-simulation researcher turned entrepreneur. Some databases list inconsistent founder names, so official/investor attribution is prioritised.</t>
  </si>
  <si>
    <t>Professor founder</t>
  </si>
  <si>
    <t>Chitranjan (Chitu) Singh</t>
  </si>
  <si>
    <t>Former Qualcomm engineering director; IIT Kanpur alumnus.</t>
  </si>
  <si>
    <t>Ex-Qualcomm; experienced founder</t>
  </si>
  <si>
    <t>Full founder identities not independently verified</t>
  </si>
  <si>
    <t>Beamforming and RF engineering team; founder CVs require direct diligence.</t>
  </si>
  <si>
    <t>Technical team; incubation support</t>
  </si>
  <si>
    <t>Saravana Maruthamuthu</t>
  </si>
  <si>
    <t>Founder has more than 17 years of semiconductor/systems experience. Corporate structure spans Singapore and India.</t>
  </si>
  <si>
    <t>Experienced technical founder; cross-border structure</t>
  </si>
  <si>
    <t>Rajiv Ganth</t>
  </si>
  <si>
    <t>Data-centre/networking technology entrepreneur; detailed employer history not verified.</t>
  </si>
  <si>
    <t>Experienced systems founder</t>
  </si>
  <si>
    <t>Puneet Wadhawan; Srikanth Srinivasan</t>
  </si>
  <si>
    <t>Each founder has over two decades of product/IP experience across consumer, automotive, industrial and compute markets, according to company.</t>
  </si>
  <si>
    <t>Sankar Reddy</t>
  </si>
  <si>
    <t>IISc PhD and former faculty member; semiconductor-industry experience. Also founded MemSmart in 2021.</t>
  </si>
  <si>
    <t>Professor turned founder; repeat founder</t>
  </si>
  <si>
    <t>Founder of Terminus Circuits; IISc academic and semiconductor background. This Indian entity is distinct from similarly named Taiwanese MEMS companies.</t>
  </si>
  <si>
    <t>Repeat founder; professor background</t>
  </si>
  <si>
    <t>Sujoy Chakravarty; Ravi Mehta; Biman Chattopadhyay; Aditi Vaidya; Anil Prabhakar; Sandeep Goyal (company-listed team)</t>
  </si>
  <si>
    <t>Repeat entrepreneurs and physics researchers. Prabhakar and Goyal are professors/advisers within the founding ecosystem; distinguish day-to-day roles during diligence.</t>
  </si>
  <si>
    <t>Repeat founders; professor involvement</t>
  </si>
  <si>
    <t>N Vijay Anand</t>
  </si>
  <si>
    <t>MSc physics and ME electrical engineering (IISc), according to founder profile.</t>
  </si>
  <si>
    <t>Vinayak Agrawal (founder-associated public profile); complete founding team unverified</t>
  </si>
  <si>
    <t>Semiconductor-design experience; complete founder CV not independently verified.</t>
  </si>
  <si>
    <t>Industry founder</t>
  </si>
  <si>
    <t>Nitin Naik; Naveen Y K (reported)</t>
  </si>
  <si>
    <t>Repeat entrepreneurs associated with Orange Semiconductors, acquired by MosChip. Track record is services execution rather than proof of a proprietary product moat.</t>
  </si>
  <si>
    <t>Repeat founders; prior services exit</t>
  </si>
  <si>
    <t>Vikram Khemchandani; Gaurav Bansal; Somashekhar Ambali</t>
  </si>
  <si>
    <t>Semiconductor design professionals. Current CEO Uttam Singhal is not automatically treated as a founder.</t>
  </si>
  <si>
    <t>Experienced engineering founders</t>
  </si>
  <si>
    <t>Himamshu Khasnis; Rajesh Mundhada</t>
  </si>
  <si>
    <t>Khasnis worked at Texas Instruments and Ittiam. Leadership has modem/connectivity design and business-development experience.</t>
  </si>
  <si>
    <t>Ex-TI / Ittiam; experienced founders</t>
  </si>
  <si>
    <t>Ashok Mehta; Shetal Mehta</t>
  </si>
  <si>
    <t>Promoters built a textile business before entering semiconductor packaging. Manufacturing entrepreneurship, not a prior global-chip engineering career.</t>
  </si>
  <si>
    <t>Repeat industrial entrepreneurs</t>
  </si>
  <si>
    <t>Rajendra Chodankar (promoter); complete founding ownership to confirm</t>
  </si>
  <si>
    <t>Industrial/engineering promoter. Do not merge private RRP Electronics funding with similarly named listed companies.</t>
  </si>
  <si>
    <t>Industrial promoter</t>
  </si>
  <si>
    <t>Venkat Mattela</t>
  </si>
  <si>
    <t>Repeat founder of Redpine Signals, whose wireless business was sold to Silicon Labs for USD 308 Mn. Long semiconductor career.</t>
  </si>
  <si>
    <t>Repeat founder; prior global semiconductor exit</t>
  </si>
  <si>
    <t>Bragadeesh Suresh Babu; Lannan Jiang</t>
  </si>
  <si>
    <t>Suresh Babu is an IIT Madras alumnus with CoMind/Fractile experience. Jiang has ETH Zurich background.</t>
  </si>
  <si>
    <t>Technical founders; cross-border company</t>
  </si>
  <si>
    <t>Srinath Sridharan; founding group included Kishore Ganti and Shyam Somayajula</t>
  </si>
  <si>
    <t>Founding engineers previously helped establish Silicon Labs’ Bengaluru development activity.</t>
  </si>
  <si>
    <t>Ex-global semiconductor founders</t>
  </si>
  <si>
    <t>Corporate-sponsored venture; do not attribute an independent startup founder without evidence</t>
  </si>
  <si>
    <t>Archean promoter-backed compound-semiconductor project with overseas technology support.</t>
  </si>
  <si>
    <t>Listed-parent corporate venture</t>
  </si>
  <si>
    <t>Parag Naik; Vishwakumara Kayargadde; Hemant Mallapur</t>
  </si>
  <si>
    <t>Experienced semiconductor founders; acquired-company case rather than an available independent startup.</t>
  </si>
  <si>
    <t>Experienced founders; strategic exit</t>
  </si>
  <si>
    <t>Neeraj Bagi</t>
  </si>
  <si>
    <t>Engineering founder with GE Healthcare and Hindustan Unilever experience, according to company.</t>
  </si>
  <si>
    <t>Experienced industrial founder</t>
  </si>
  <si>
    <t>Yaseen Ahamed; complete group founding ownership to confirm</t>
  </si>
  <si>
    <t>Founder-led VLSI and embedded-engineering services company established in 2017. Overseas-subsidiary co-founders should not automatically be assigned as Indian parent founders.</t>
  </si>
  <si>
    <t>Engineering-services entrepreneur</t>
  </si>
  <si>
    <t>Bhaskar Kakani; Rajesh Nallapati; Rajasekharam Naidu P; Venu Mulluri (reported founding group)</t>
  </si>
  <si>
    <t>Experienced semiconductor and embedded-engineering team. Bhaskar Kakani is identified by the buyer as co-founder and CEO.</t>
  </si>
  <si>
    <t>Services founders; strategic exit</t>
  </si>
  <si>
    <t>Nikul Shah; Jinal Shah</t>
  </si>
  <si>
    <t>Founder-led RF-module and embedded-product company established in Ahmedabad. Full prior-employer chronology not verified.</t>
  </si>
  <si>
    <t>Technical / commercial founding team</t>
  </si>
  <si>
    <t>Established listed company; founder history outside startup screen</t>
  </si>
  <si>
    <t>Listed semiconductor engineering and IP business.</t>
  </si>
  <si>
    <t>Listed incumbent</t>
  </si>
  <si>
    <t>Products, Indian applications and readiness</t>
  </si>
  <si>
    <t>A tape-out sends a design for manufacture. Working samples, customer qualification and repeat volume shipments are separate milestones.</t>
  </si>
  <si>
    <t>Product / service detail</t>
  </si>
  <si>
    <t>Application in the Indian economy</t>
  </si>
  <si>
    <t>Latest evidenced readiness</t>
  </si>
  <si>
    <t>Readiness category</t>
  </si>
  <si>
    <t>SecureIoT S2401 combines a RISC-V processor with memory, security and peripheral functions. Evaluation boards support firmware development. Vision-series chips target camera and other on-device visual processing.</t>
  </si>
  <si>
    <t>Local controllers for smart meters, access control, industrial devices and cameras can reduce dependence on imported controllers and improve local technical support.</t>
  </si>
  <si>
    <t>SecureIoT first silicon was demonstrated in May 2024; evaluation board launched in March 2025. September 2026 reporting describes customer trials and first revenue expected in FY27. Later-2026 roadmap entries are targets, not proof of shipment.</t>
  </si>
  <si>
    <t>Working silicon / customer trials</t>
  </si>
  <si>
    <t>Analog and mixed-signal IP and ICs for accurate measurement, motor control, energy metering and power conversion. The DLI programme supports a mixed-signal motor-control microcontroller.</t>
  </si>
  <si>
    <t>More efficient fans and appliances, accurate smart meters, industrial motor drives and reliable aerospace instrumentation.</t>
  </si>
  <si>
    <t>August 2026 PIB update confirms first-pass BLDC-controller silicon using InCore IP and a motor-driver chip. Earlier fabricated analog products were under evaluation. Qualified volume shipments are not verified.</t>
  </si>
  <si>
    <t>Fabricated silicon / evaluation</t>
  </si>
  <si>
    <t>Radio-frequency chips and interface IP. DLI project is an 8–12 GHz four-channel gain/phase-control chip for electronically steered antenna arrays. Beamformer and front-end products support radar and satellite links.</t>
  </si>
  <si>
    <t>Local radar electronics, defence communications, satellite terminals and telecom equipment can substitute imported RF components.</t>
  </si>
  <si>
    <t>Company demonstrated a prototype antenna tile using its own chips in early 2026. GlobalFoundries manufacturing partnership announced June 2026. Mass-production volumes are not publicly verified.</t>
  </si>
  <si>
    <t>Prototype / foundry partnership</t>
  </si>
  <si>
    <t>Configurable RISC-V processor IP and automated system-on-chip generation. Customers license reusable processor designs and integrate them into their own chips rather than buying a general-purpose InCore chip.</t>
  </si>
  <si>
    <t>Domestic IP ownership for metering, cameras, industrial controllers and future custom chips. Enables Indian companies to design products without building a CPU team from scratch.</t>
  </si>
  <si>
    <t>Company reports a six-core test chip and silicon validation of its SoC generator. September 2026 company material shows partners’ taped-out chips using InCore IP. This supports IP validation, not a disclosed royalty run rate.</t>
  </si>
  <si>
    <t>Silicon-validated IP</t>
  </si>
  <si>
    <t>AI-assisted analog and mixed-signal circuit-design software. Engineers can use an assistant to explore designs, review circuits and reduce repetitive development work.</t>
  </si>
  <si>
    <t>Can improve productivity of India’s chip-design teams and help smaller fabless companies cope with scarce experienced analog engineers.</t>
  </si>
  <si>
    <t>Product development and planned rollout reported. Independent production-workflow benchmarks and paying-customer deployment evidence were not verified. A proprietary chip tape-out is not the right readiness test for this software.</t>
  </si>
  <si>
    <t>Software development / commercial validation pending</t>
  </si>
  <si>
    <t>Manas digital multiphase controller and Sarayu smart power stage. Software-defined voltage regulation delivers power close to AI processors.</t>
  </si>
  <si>
    <t>Supports efficient AI servers and data-centre power systems. Indian adoption depends on server-design qualification rather than data-centre construction alone.</t>
  </si>
  <si>
    <t>First designs sent to foundries in 2026 and smart-power-stage tape-out announced in May. Independent mass-production qualification not verified.</t>
  </si>
  <si>
    <t>Tape-out / strategic acquisition</t>
  </si>
  <si>
    <t>Gallium nitride (GaN) materials, RF devices and related process technology. Focus includes high-frequency/high-power chips for communications and defence.</t>
  </si>
  <si>
    <t>Local RF supply for radar, telecom and strategic electronics. Power-device applications are a longer-term option and should not be confused with qualified charger or EV products.</t>
  </si>
  <si>
    <t>Pilot projects and process development reported. March 2026 reporting targeted commercial shipments for July 2027; five pilots reported in August 2026. Do not treat target volume as actual sales.</t>
  </si>
  <si>
    <t>Pilot / manufacturing scale-up</t>
  </si>
  <si>
    <t>Edge-AI system-on-chips for cameras, robotics and industrial devices. A2000 and R1000 product programmes combine local AI, video processing and connectivity.</t>
  </si>
  <si>
    <t>Processes camera and sensor data locally, reducing network dependence and supporting surveillance, automation and robotics.</t>
  </si>
  <si>
    <t>August 2026 PIB update confirms successful testing of a 12 nm vision SoC. Customer trials were reported in May. Commercial volume production remains unverified.</t>
  </si>
  <si>
    <t>First chip / trials; next chip taped out</t>
  </si>
  <si>
    <t>Secure video-processing and edge-AI chips for surveillance cameras and related connected equipment.</t>
  </si>
  <si>
    <t>Supports indigenous camera electronics and local control over security-sensitive silicon and firmware.</t>
  </si>
  <si>
    <t>Investors report successful tape-out and progression from test silicon towards production-ready devices in 2026. Production qualification not independently confirmed.</t>
  </si>
  <si>
    <t>Tape-out / test silicon</t>
  </si>
  <si>
    <t>REDEFINE reconfigurable many-core compute architecture, processor IP and accelerator-card ecosystem. Aims to adapt hardware resources to changing compute workloads.</t>
  </si>
  <si>
    <t>Potential acceleration for industrial, defence and scientific workloads, subject to real application benchmarks and software portability.</t>
  </si>
  <si>
    <t>Company roadmap targeted a test chip in Q3 2026. Verified completed silicon and volume deployment not located; elapsed target date is not completion.</t>
  </si>
  <si>
    <t>Development / silicon confirmation pending</t>
  </si>
  <si>
    <t>TUNGA RISC-V processor with POSIT arithmetic and accelerator-card/software stack. POSIT is an alternative numeric representation intended to improve computing efficiency.</t>
  </si>
  <si>
    <t>Scientific computing, engineering simulations and specialised AI workloads; value must be demonstrated against current CPU/GPU systems on complete applications.</t>
  </si>
  <si>
    <t>TUNGA first-generation chip and early-customer testing reported. Independent deployment volumes and benchmark reproducibility not verified.</t>
  </si>
  <si>
    <t>Working chip / early testing</t>
  </si>
  <si>
    <t>Custom AI-native silicon and edge-computing platforms for connected devices and physical AI applications.</t>
  </si>
  <si>
    <t>Local custom chips for wearables, consumer devices and connected industrial products, reducing the need to adapt generic imported chips.</t>
  </si>
  <si>
    <t>Commercial development and customer collaboration reported; exact first-silicon status and production qualification not publicly verified.</t>
  </si>
  <si>
    <t>Development / named co-development</t>
  </si>
  <si>
    <t>AI compute processor/GPU platform and accompanying software intended for data-centre workloads.</t>
  </si>
  <si>
    <t>Potential domestic AI compute IP; commercial success requires global performance, software and cost competitiveness, not domestic demand alone.</t>
  </si>
  <si>
    <t>Early development; completed tape-out or deployed production prototype not verified.</t>
  </si>
  <si>
    <t>Development</t>
  </si>
  <si>
    <t>SenseSoC-200 combines a microcontroller, wireless functions, low-power analog interfaces and AI inference for medical and IoT applications.</t>
  </si>
  <si>
    <t>Battery-powered sensing, connected healthcare, metering and industrial monitoring.</t>
  </si>
  <si>
    <t>Tape-out was planned for Q1 2026 in funding reporting. Completion and clinical/product qualification not verified from that target alone.</t>
  </si>
  <si>
    <t>Development / milestone confirmation pending</t>
  </si>
  <si>
    <t>VEGA-based VIHAAN broadband processor and GPON optical-network-terminal SoC, plus networking solutions.</t>
  </si>
  <si>
    <t>Domestic chips for fibre-to-home equipment and broadband deployment.</t>
  </si>
  <si>
    <t>PIB confirms VIHAAN tape-out in January 2026 and first-pass silicon in August. Production tape-out remains a 2027 target.</t>
  </si>
  <si>
    <t>First silicon</t>
  </si>
  <si>
    <t>Energy-harvesting power-management chip that captures small amounts of ambient energy and manages power for low-energy sensors.</t>
  </si>
  <si>
    <t>Long-life or battery-light sensors for agriculture, industrial monitoring and remote infrastructure.</t>
  </si>
  <si>
    <t>Development programme verified; deployable production chip and qualification data not located.</t>
  </si>
  <si>
    <t>Integrated battery-management silicon for monitoring and controlling battery packs.</t>
  </si>
  <si>
    <t>Battery safety, state monitoring and system integration for electric vehicles and energy storage.</t>
  </si>
  <si>
    <t>Product programme described publicly; company-specific tape-out, qualified sample and deployment evidence not verified.</t>
  </si>
  <si>
    <t>Development / status unverified</t>
  </si>
  <si>
    <t>Specialised CMOS image sensors, including low-light/single-photon detection development for surveillance and advanced imaging.</t>
  </si>
  <si>
    <t>Domestic high-performance imaging for security, defence, industrial inspection and vehicle cameras.</t>
  </si>
  <si>
    <t>Sensor development and strategic programmes reported. A production-qualified status for the particular DLI low-light sensor is not verified.</t>
  </si>
  <si>
    <t>Development / qualification unverified</t>
  </si>
  <si>
    <t>TireSynapse / advanced tyre-monitoring IC development, integrating sensing and low-power wireless functions.</t>
  </si>
  <si>
    <t>Improves tyre safety and fleet maintenance for Indian commercial vehicles and passenger vehicles.</t>
  </si>
  <si>
    <t>DLI product-development project verified. Production-qualified automotive chip or deployment not independently confirmed.</t>
  </si>
  <si>
    <t>Analog/RF IP and chips for satellite navigation, wireless connectivity and satellite communications.</t>
  </si>
  <si>
    <t>Domestic NavIC/GNSS receivers and communication electronics for tracking, transport and strategic systems.</t>
  </si>
  <si>
    <t>C-DOT development agreement verified in December 2024. Qualified production silicon for the contracted programme not independently confirmed.</t>
  </si>
  <si>
    <t>Funded development</t>
  </si>
  <si>
    <t>Low-power biosensing system-on-chip combining analog measurement and processing for cardiac and other vital signs.</t>
  </si>
  <si>
    <t>More affordable wearable and remote-monitoring electronics for India’s healthcare system.</t>
  </si>
  <si>
    <t>Prototype-to-commercialisation transition reported; production qualification and deployment-ready medical design not independently verified.</t>
  </si>
  <si>
    <t>Prototype / qualification pending</t>
  </si>
  <si>
    <t>Millimetre-wave/RF chips, radar and communication systems. DLI programme covers an indigenous Ka-band beamformer radar chip.</t>
  </si>
  <si>
    <t>Radar, aerospace, satellite and telecom electronics with local development capability.</t>
  </si>
  <si>
    <t>Commercial RF engineering capability and product portfolio are described. Specific DLI chip qualification and production volumes not verified.</t>
  </si>
  <si>
    <t>Products / specific chip milestone unverified</t>
  </si>
  <si>
    <t>Cellular baseband/connectivity chips. DLI project combines LTE Cat-1 bis and narrowband IoT for connected devices.</t>
  </si>
  <si>
    <t>Cellular links for meters, trackers and industrial IoT devices.</t>
  </si>
  <si>
    <t>Programme and company capability verified; current DLI-chip tape-out and customer qualification not located.</t>
  </si>
  <si>
    <t>Specific project milestone unverified</t>
  </si>
  <si>
    <t>Hydrogen leak detectors and a MEMS/CMOS gas-sensing platform. Products include portable and fixed sensors plus control/display systems.</t>
  </si>
  <si>
    <t>Hydrogen safety, industrial-process monitoring and emissions measurement for India’s clean-energy and manufacturing buildout.</t>
  </si>
  <si>
    <t>Portable/fixed hydrogen products and live demonstrations are documented. A new MEMS/CMOS chip-development programme should not be conflated with those existing instruments.</t>
  </si>
  <si>
    <t>Sensor products / new-chip development</t>
  </si>
  <si>
    <t>Chip design, verification, physical implementation, validation and embedded engineering. DLI product project is a linear LED driver IC.</t>
  </si>
  <si>
    <t>Supports domestic chip-development execution and potentially local LED-lighting electronics.</t>
  </si>
  <si>
    <t>Design services are offered commercially. Tape-out and qualified production of the DLI LED-driver chip not verified.</t>
  </si>
  <si>
    <t>Services available / product milestone unverified</t>
  </si>
  <si>
    <t>5G radio-access software/systems and narrowband-IoT silicon/IP for terrestrial and satellite connectivity.</t>
  </si>
  <si>
    <t>Rural broadband, private industrial networks and low-power connected meters/sensors.</t>
  </si>
  <si>
    <t>NB-IoT chip samples and lab validation reported; historical lack of orders impeded mass production. 2026 company material describes field trials of 5G systems. Chip volume status must be separately verified.</t>
  </si>
  <si>
    <t>Working samples / network pilots</t>
  </si>
  <si>
    <t>Radar-on-chip, radar imaging and signal-processing systems for all-weather sensing.</t>
  </si>
  <si>
    <t>Drone detection, industrial safety, infrastructure monitoring and security where optical cameras struggle.</t>
  </si>
  <si>
    <t>Ananta minimum viable prototype described in founder research profile. Production qualification of DLI RF chip not verified.</t>
  </si>
  <si>
    <t>Prototype</t>
  </si>
  <si>
    <t>ASIC design/verification plus ABHED-1 hardware encryption device and a data-diode security product.</t>
  </si>
  <si>
    <t>Secure defence communications and protection of industrial networks, alongside outsourced chip-design execution.</t>
  </si>
  <si>
    <t>Company shows products and iDEX co-development. Earlier lab-proven prototype reported; current production qualification and deployments not independently verified.</t>
  </si>
  <si>
    <t>Product prototypes / services</t>
  </si>
  <si>
    <t>Enterprise AI software and ExSLerate edge-AI accelerator programme; speech/vision solutions and co-developed hardware.</t>
  </si>
  <si>
    <t>Local-language voice interfaces, low-power device intelligence and industrial vision.</t>
  </si>
  <si>
    <t>Software is offered; ExSLerate V2 commercial readiness was targeted for December 2026, after this research cutoff. No completed production-ready chip inferred.</t>
  </si>
  <si>
    <t>Software products / chip development</t>
  </si>
  <si>
    <t>Electromagnetic interference/compatibility simulation software to predict electronics problems before expensive physical testing.</t>
  </si>
  <si>
    <t>Faster development and fewer rework cycles for automotive electronics, appliances and industrial equipment.</t>
  </si>
  <si>
    <t>Commercial software platform; chip tape-out is not applicable. Require paid licence and renewal data to validate scale.</t>
  </si>
  <si>
    <t>Commercial software</t>
  </si>
  <si>
    <t>Wireless semiconductors, software and systems for 5G/6G and edge-AI applications.</t>
  </si>
  <si>
    <t>Domestic telecom network equipment and radio/edge processing.</t>
  </si>
  <si>
    <t>Company reports first-generation silicon entering production in 2026. Independent qualification, shipment volumes and next-generation tape-out completion not verified.</t>
  </si>
  <si>
    <t>Company-reported silicon / verification pending</t>
  </si>
  <si>
    <t>Beamforming antenna systems and analog/RF chips for 5G and satellite communication.</t>
  </si>
  <si>
    <t>Electronically steered antennas for telecom, satellite access and defence.</t>
  </si>
  <si>
    <t>AIC T-Hub reported fabrication of an integrated analog IC in 2023. Current product qualification and customer deployments not independently verified.</t>
  </si>
  <si>
    <t>Fabricated prototype</t>
  </si>
  <si>
    <t>Palani hybrid analog-digital AI compute platform with in-memory computing and optical interconnect ambitions.</t>
  </si>
  <si>
    <t>Potentially lower-energy AI inference for industrial sensing, edge devices and larger compute systems.</t>
  </si>
  <si>
    <t>PIB confirms receipt of its 12 nm compute-in-memory SoC in August 2026, following tape-out. Independent qualification and commercial volume shipments are not verified.</t>
  </si>
  <si>
    <t>Tape-out / test chip</t>
  </si>
  <si>
    <t>Smart networking switch and data-centre infrastructure platform integrating hardware and software.</t>
  </si>
  <si>
    <t>More efficient data movement and utilisation of Indian data-centre infrastructure.</t>
  </si>
  <si>
    <t>2025 financing intended to build commercially viable hardware; current deployed-product and proprietary-chip status not independently verified.</t>
  </si>
  <si>
    <t>Productisation</t>
  </si>
  <si>
    <t>Indigenous chips for OEM/EMS customers, focused on consumer electronics, robotics, industrial automation and vision.</t>
  </si>
  <si>
    <t>Application-specific local silicon and closer support for Indian electronics manufacturers.</t>
  </si>
  <si>
    <t>Product focus is public; specific chip tape-out and production-ready samples not verified.</t>
  </si>
  <si>
    <t>High-speed connectivity and interface IP for integration into customer chips.</t>
  </si>
  <si>
    <t>Enables domestic data-centre, storage and communication-chip designs to move data efficiently.</t>
  </si>
  <si>
    <t>IP portfolio is offered commercially. Each IP block’s process-specific silicon validation must be checked; broad company claims are insufficient.</t>
  </si>
  <si>
    <t>Commercial IP / block-level validation required</t>
  </si>
  <si>
    <t>Enterprise flash-storage devices with hardware-enabled security, built using a design-by-construction approach.</t>
  </si>
  <si>
    <t>Secure local storage for enterprise, defence and data-centre applications.</t>
  </si>
  <si>
    <t>Development focus verified; qualified production product and deployed customers not located.</t>
  </si>
  <si>
    <t>Quantum-inspired optical optimisation hardware and a longer-term photonic quantum-computing programme.</t>
  </si>
  <si>
    <t>Potential optimisation of logistics, industrial scheduling and scientific workloads. Not a direct substitute for general semiconductor fabrication.</t>
  </si>
  <si>
    <t>Time-multiplexed coherent Ising-machine prototype reported. Full fault-tolerant quantum computer is a development objective, not a deployed product.</t>
  </si>
  <si>
    <t>Optimisation prototype</t>
  </si>
  <si>
    <t>Low-power embedded systems, firmware, DSP/multimedia solutions and platform-SoC-related IP. Company also builds products using third-party chipsets.</t>
  </si>
  <si>
    <t>Longer battery life and local embedded engineering for wearables, drones and connected devices.</t>
  </si>
  <si>
    <t>Services/product-development capability public; proprietary chip tape-out not verified.</t>
  </si>
  <si>
    <t>Services / development</t>
  </si>
  <si>
    <t>Custom chip/IP solutions aimed at EV, green-energy and consumer-electronics applications.</t>
  </si>
  <si>
    <t>Local chip design adapted to Indian OEM requirements.</t>
  </si>
  <si>
    <t>Company describes discussions with potential customers to define solutions. Tape-out and deployable product not verified.</t>
  </si>
  <si>
    <t>Customer discovery / development</t>
  </si>
  <si>
    <t>Digital chip design, physical implementation, verification, testability, silicon validation, FPGA prototyping and embedded software.</t>
  </si>
  <si>
    <t>Expands engineering capacity for Indian and global chip-development programmes.</t>
  </si>
  <si>
    <t>Commercial design services. Client tape-outs are not evidence of a Blueberry-owned chip product.</t>
  </si>
  <si>
    <t>Commercial services</t>
  </si>
  <si>
    <t>Design/verification, physical implementation, embedded systems, turnkey ASICs, Kaveri RISC-V microcontroller platform and Anvay automation.</t>
  </si>
  <si>
    <t>Helps OEMs execute custom silicon and embedded products with local engineering teams.</t>
  </si>
  <si>
    <t>Commercial design services and client tape-out execution. Platform-specific production validation needs separate review.</t>
  </si>
  <si>
    <t>Commercial services / platforms</t>
  </si>
  <si>
    <t>Agumbe communication chipset and RF/baseband solutions for cellular and wireless network equipment.</t>
  </si>
  <si>
    <t>Domestic network-equipment silicon for rural broadband and mobile communications.</t>
  </si>
  <si>
    <t>Chips unveiled in 2019. Industry association reports rural BSNL network use through Signaltron equipment. Current shipped volumes and product-generation economics remain undisclosed.</t>
  </si>
  <si>
    <t>Working chips / reported field use</t>
  </si>
  <si>
    <t>Outsourced chip assembly and testing, including small-outline, power-device and QFN packages.</t>
  </si>
  <si>
    <t>Adds domestic packaging capacity for power, automotive, consumer and industrial chips.</t>
  </si>
  <si>
    <t>Company reports commercial-production inauguration on 17 September 2026. Customer-specific reliability qualification and sustained utilisation still require diligence.</t>
  </si>
  <si>
    <t>Commercial production announced</t>
  </si>
  <si>
    <t>OSAT services and planned wafer-level/advanced packaging using Deca technology; compound-semiconductor expansion plans.</t>
  </si>
  <si>
    <t>Local packaging and testing for semiconductor suppliers and electronics supply chains.</t>
  </si>
  <si>
    <t>Company describes operating OSAT capability and expansion projects. Each new wafer-level or compound facility requires separate commissioning verification.</t>
  </si>
  <si>
    <t>OSAT capability / expansion plans</t>
  </si>
  <si>
    <t>Low-energy computing architecture, silicon systems and life-sciences compute platforms.</t>
  </si>
  <si>
    <t>Potential scientific/AI compute and drug-discovery infrastructure; Indian R&amp;D contributes IP, but the corporate headquarters are in the US.</t>
  </si>
  <si>
    <t>Company describes architecture/products and historical TSMC-node development. Current mass-production shipments and customer qualification not independently verified.</t>
  </si>
  <si>
    <t>Platform development / deployment verification needed</t>
  </si>
  <si>
    <t>AI-assisted chip-design automation, aimed at improving circuit/physical-design workflows.</t>
  </si>
  <si>
    <t>Could improve productivity for Indian and global chip designers; an Indian founder alone does not make the company India-headquartered.</t>
  </si>
  <si>
    <t>Early software development; paid deployments not verified. Own tape-out is not necessarily required for software readiness.</t>
  </si>
  <si>
    <t>Early software development</t>
  </si>
  <si>
    <t>Analog/mixed-signal product history spans timing, wireless, audio and power. Product-business disposals mean historical portfolio must not be treated as the current perimeter.</t>
  </si>
  <si>
    <t>Specialised components for communications, consumer electronics and power systems.</t>
  </si>
  <si>
    <t>Company reports shipped products. Current product ownership and unit economics require diligence following business divestments.</t>
  </si>
  <si>
    <t>Commercial products / perimeter changes</t>
  </si>
  <si>
    <t>Integrated silicon-carbide manufacturing and packaging project for power devices.</t>
  </si>
  <si>
    <t>Potential local power devices for EVs, renewable-energy converters and industrial power systems.</t>
  </si>
  <si>
    <t>Project-development stage; no operating-volume fab inferred from approvals or land allocation.</t>
  </si>
  <si>
    <t>Fab project development</t>
  </si>
  <si>
    <t>Software-defined radio, broadcast and cellular baseband chips/systems; DLI project supports 5G baseband processing.</t>
  </si>
  <si>
    <t>Telecom network equipment, direct-to-mobile broadcasting and strategic communications.</t>
  </si>
  <si>
    <t>Established product business; qualification of each new DLI chip is separate.</t>
  </si>
  <si>
    <t>Commercial company / new programme</t>
  </si>
  <si>
    <t>HyaLyte glass etching and micro-structuring equipment, custom glass fabrication and microfluidic devices.</t>
  </si>
  <si>
    <t>Enables glass-based advanced packaging, MEMS and medical-device prototyping in India.</t>
  </si>
  <si>
    <t>Company markets an available equipment platform and reports paid fabrication work. Customer-specific production-line qualification remains to be checked.</t>
  </si>
  <si>
    <t>Equipment / services commercially offered</t>
  </si>
  <si>
    <t>VLSI design, verification, physical design, FPGA, embedded software and engineering solutions.</t>
  </si>
  <si>
    <t>Adds local engineering capacity for telecom, automotive and industrial product development.</t>
  </si>
  <si>
    <t>Commercial engineering services; proprietary product tape-out is not a prerequisite to services deployment.</t>
  </si>
  <si>
    <t>Semiconductor design and embedded-engineering services, including verification and implementation.</t>
  </si>
  <si>
    <t>Supports semiconductor engineering for global and Indian customers.</t>
  </si>
  <si>
    <t>Commercial services business acquired by Quest Global in 2026.</t>
  </si>
  <si>
    <t>Commercial services / acquired</t>
  </si>
  <si>
    <t>Bluetooth, Wi-Fi, LoRa and other RF modules; VEGA-based IoT development board and AI-SoC development programme.</t>
  </si>
  <si>
    <t>Local wireless modules for tracking, smart buildings, industrial IoT and connected consumer devices.</t>
  </si>
  <si>
    <t>Module datasheets and Bluetooth certification are public. Own AI-SoC production readiness is separate and not established by a certified module using third-party silicon.</t>
  </si>
  <si>
    <t>Certified modules / own-SoC development</t>
  </si>
  <si>
    <t>Official EDA-support roster establishes programme participation, but does not describe a commercial product.</t>
  </si>
  <si>
    <t>Tape-out, prototype and deployment readiness not disclosed in this roster.</t>
  </si>
  <si>
    <t>Not established</t>
  </si>
  <si>
    <t>Semiconductor design services and VIDYUT smart-meter IC programme.</t>
  </si>
  <si>
    <t>Engineering execution and domestic smart-meter silicon.</t>
  </si>
  <si>
    <t>Commercial services; specific VIDYUT qualification not verified.</t>
  </si>
  <si>
    <t>Services / product programme</t>
  </si>
  <si>
    <t>Named in September 2026 SEMICON startup competition coverage. Detailed product specification not verified.</t>
  </si>
  <si>
    <t>Award/selection does not establish deployment readiness.</t>
  </si>
  <si>
    <t>Customer evidence, alliances and potential beneficiaries</t>
  </si>
  <si>
    <t>Confirmed relationship descriptions and analyst-proposed beneficiaries are kept separate. Potential beneficiary lists are not customer lists.</t>
  </si>
  <si>
    <t>Target customer segment</t>
  </si>
  <si>
    <t>Named customers / evidence limits</t>
  </si>
  <si>
    <t>Commercial conviction / next test</t>
  </si>
  <si>
    <t>Strategic alliances and their limits</t>
  </si>
  <si>
    <t>Potential large / listed Indian beneficiaries (inference)</t>
  </si>
  <si>
    <t>Indian fab / OSAT / compound-fab fit (inference)</t>
  </si>
  <si>
    <t>Device manufacturers, meter makers, camera and industrial-equipment designers.</t>
  </si>
  <si>
    <t>Bosch BGSW alliance and Pinetics integration agreement are named commercial-development signals. Metering, biometric and CCTV trials are reported. Recurring volume orders remain unverified. PRAMA India is a further named camera-development partner.</t>
  </si>
  <si>
    <t>Conditional: working silicon and integration partners reduce engineering risk. Require purchase orders, qualification reports and cash collections before underwriting a volume ramp.</t>
  </si>
  <si>
    <t>Bosch BGSW MoU / startup alliance; Pinetics integration. Neither establishes a guaranteed minimum purchase. PRAMA India agreement explores Vision SoC use in CCTV cameras; not a volume purchase commitment.</t>
  </si>
  <si>
    <t>Genus Power, HPL Electric, Dixon, Kaynes Technology and BEL are prospective adopters, not confirmed customers.</t>
  </si>
  <si>
    <t>Potential packaging/test demand for Kaynes, CG Semi, Suchi or Tata’s packaging business after package qualification. A future Tata silicon-fab port needs compatible node, process IP and redesign; no automatic fit.</t>
  </si>
  <si>
    <t>Industrial and appliance OEMs, meter manufacturers, space/defence electronics suppliers and chip designers licensing analog IP.</t>
  </si>
  <si>
    <t>An identified but unnamed space customer was reported by PIB. Public customer names, committed quantities and recurring chip revenue are not established.</t>
  </si>
  <si>
    <t>Promising product breadth and experienced analog team. Validate which ICs are actually qualified and revenue-producing rather than counting IP blocks as commercial chips.</t>
  </si>
  <si>
    <t>UMC and TSMC process use is reported by PIB. Samsung SAFE IP participation is reported in Bharat Innovates material; it is an ecosystem relationship, not an offtake contract. InCore processor IP used in BLDC controller, confirmed by PIB in August 2026.</t>
  </si>
  <si>
    <t>Havells, Crompton, Genus Power, HPL Electric, BEL, HAL and Dixon are prospective adopters.</t>
  </si>
  <si>
    <t>Radar, aerospace, satellite-communication and telecom equipment manufacturers; chip-design customers for interface IP.</t>
  </si>
  <si>
    <t>Company claims Indian and overseas OEM engagements. DigiKey supplier presence provides a named sales channel. No named recurring-volume purchase agreement verified.</t>
  </si>
  <si>
    <t>Stronger production-route evidence than a design-only project. Diligence must establish qualification, unit economics, order backlog and whether RF components meet defence reliability requirements.</t>
  </si>
  <si>
    <t>Commercial manufacturing partnership with GlobalFoundries announced 11 June 2026; DigiKey distribution. Qualcomm mentorship is not a customer order.</t>
  </si>
  <si>
    <t>BEL, HAL, Data Patterns, Astra Microwave, Paras Defence and Tejas Networks are prospective adopters.</t>
  </si>
  <si>
    <t>Packaging/test opportunity for Kaynes, CG Semi or specialist OSATs, subject to RF process/package qualification. SiGe/GaN designs cannot simply transfer into a standard CMOS fab.</t>
  </si>
  <si>
    <t>Fabless chip companies, ASIC design houses and OEMs developing custom silicon.</t>
  </si>
  <si>
    <t>Vervesemi controller silicon uses InCore IP, confirmed by PIB in August 2026. HCL/Tessolve collaborations are also named. Licence fees and recurring royalties remain undisclosed.</t>
  </si>
  <si>
    <t>Attractive capital efficiency because IP can be licensed repeatedly. Confirm ownership of university-derived IP, paid licences and royalty-bearing designs.</t>
  </si>
  <si>
    <t>HCL and Tessolve solution collaborations; RISC-V ecosystem. An open instruction-set standard is not an exclusive global-chipmaker alliance.</t>
  </si>
  <si>
    <t>HCLTech, Cyient, MosChip, Tata Elxsi and L&amp;T Semiconductor Technologies could use processor IP in customer or internal designs.</t>
  </si>
  <si>
    <t>Indirect enabler: supports customer designs/IP rather than directly filling wafer capacity. Potential users include MosChip, Cyient, HCLTech and L&amp;T Semiconductor Technologies.</t>
  </si>
  <si>
    <t>Analog chip designers, semiconductor product companies and design-services teams.</t>
  </si>
  <si>
    <t>No named paying customers or recurring software revenue verified.</t>
  </si>
  <si>
    <t>Founder execution history and reusable software are attractive. Investment depends on paid pilots, measurable engineer time savings and integration with incumbent EDA tools.</t>
  </si>
  <si>
    <t>UTEC, Endiya and Exfinity are financial investors. The founders’ former Renesas exit is not a current Maieutic–Renesas partnership.</t>
  </si>
  <si>
    <t>MosChip, Cyient, HCLTech, L&amp;T Semiconductor Technologies and Indian analog design centres are prospective users.</t>
  </si>
  <si>
    <t>Global server manufacturers, power-module suppliers and AI infrastructure designers.</t>
  </si>
  <si>
    <t>No named committed-volume buyer verified before acquisition. Infineon supplies strategic validation and potential access to customers; it is an acquirer, not evidence of existing customer revenue.</t>
  </si>
  <si>
    <t>Useful exit precedent, but unavailable as a normal independent VC candidate after acquisition agreement.</t>
  </si>
  <si>
    <t>TDK Ventures strategic investment; Tower Semiconductor / GlobalFoundries fabrication routes. Infineon announced acquisition on 24 August 2026; release expected Q3 closing, separate closing confirmation not located.</t>
  </si>
  <si>
    <t>Netweb Technologies and Indian server/power-system manufacturers are prospective downstream beneficiaries. Tata Communications and Reliance data centres could benefit indirectly.</t>
  </si>
  <si>
    <t>Defence and telecom equipment manufacturers, RF module companies and wafer/device customers.</t>
  </si>
  <si>
    <t>Five pilots reported, but counterparties and binding volume orders not publicly verified.</t>
  </si>
  <si>
    <t>Strong differentiated science; higher process, yield and capital risk. Require reproducible yields, paid pilot conversion and a funding plan that does not depend on an unapproved fab subsidy.</t>
  </si>
  <si>
    <t>IISc GaN ecosystem; iDEX development relationship. No purchase commitment from a global semiconductor giant verified.</t>
  </si>
  <si>
    <t>BEL, Astra Microwave, Data Patterns and Tejas Networks are prospective users; SiCSem and RIR are adjacent compound-semiconductor companies, not interchangeable GaN foundries.</t>
  </si>
  <si>
    <t>SiCSem (Archean) and RIR are relevant compound-power ecosystem peers. GaN and SiC processes are different; no automatic foundry compatibility or customer relationship.</t>
  </si>
  <si>
    <t>Camera makers, robotics companies and industrial/consumer device OEMs.</t>
  </si>
  <si>
    <t>Customer trials reported; Zoho is an investor and cannot be treated as guaranteed offtake. Named volume customers not verified.</t>
  </si>
  <si>
    <t>Meaningful capital and product progress, but commercial qualification and software adoption remain key risks.</t>
  </si>
  <si>
    <t>TSMC manufacturing/process relationship; Zoho strategic investment. No guaranteed purchase volumes verified.</t>
  </si>
  <si>
    <t>Dixon, Kaynes Technology, BEL, Tata Elxsi and industrial OEMs are prospective adopters.</t>
  </si>
  <si>
    <t>Surveillance camera brands, camera design manufacturers and security-equipment OEMs.</t>
  </si>
  <si>
    <t>Unnamed OEM relationships reported by investors. No named firm volume order verified.</t>
  </si>
  <si>
    <t>Clear initial use case, but needs competitive image quality, software compatibility and OEM qualification against entrenched suppliers.</t>
  </si>
  <si>
    <t>Dixon, Kaynes, BEL and Indian surveillance manufacturers are prospective adopters.</t>
  </si>
  <si>
    <t>Compute OEMs, defence research users, chip companies and specialised high-performance computing customers.</t>
  </si>
  <si>
    <t>Research and proof-of-concept engagements reported; named recurring commercial buyers not verified.</t>
  </si>
  <si>
    <t>Scientific differentiation is plausible, but long development history and software ecosystem make commercial validation essential.</t>
  </si>
  <si>
    <t>BEL, HAL, Netweb, HCLTech and Cyient are prospective adopters/integration channels.</t>
  </si>
  <si>
    <t>HPC operators, research institutions, server/accelerator OEMs and scientific-computing users.</t>
  </si>
  <si>
    <t>Early evaluations reported; customer identities and binding backlog not verified.</t>
  </si>
  <si>
    <t>Working silicon helps. Unusual arithmetic creates a software-porting and customer-adoption hurdle.</t>
  </si>
  <si>
    <t>Netweb Technologies, HCLTech, BEL and Indian research-compute suppliers are prospective adopters.</t>
  </si>
  <si>
    <t>Consumer-electronics brands and OEMs commissioning custom silicon.</t>
  </si>
  <si>
    <t>boAt co-development relationship reported. Persistent Systems is a strategic investor. Neither establishes public minimum purchase volumes.</t>
  </si>
  <si>
    <t>Named brand engagement improves market orientation; require costed design wins and customer-funded development milestones.</t>
  </si>
  <si>
    <t>boAt product collaboration; Persistent Systems strategic investment. No global-chipmaker offtake verified.</t>
  </si>
  <si>
    <t>Dixon, Kaynes, Syrma SGS and Persistent could benefit from design/manufacturing integration. These are prospective except stated strategic investment.</t>
  </si>
  <si>
    <t>AI server OEMs, cloud platforms and enterprise-compute users.</t>
  </si>
  <si>
    <t>No named committed-volume buyer verified.</t>
  </si>
  <si>
    <t>High upside but substantial architecture, software, capital and incumbent-competition risk. Not in first five absent silicon and anchor-customer evidence.</t>
  </si>
  <si>
    <t>Netweb, HCLTech and Indian cloud/server suppliers could benefit if commercial qualification succeeds.</t>
  </si>
  <si>
    <t>Medical-device, smart-meter and IoT equipment manufacturers.</t>
  </si>
  <si>
    <t>No named volume buyer verified. September reporting identifies packaging collaboration with Kaynes.</t>
  </si>
  <si>
    <t>Useful integration concept; qualification and low-power benchmarks must be demonstrated in an actual OEM product.</t>
  </si>
  <si>
    <t>Kaynes Semicon packaging/testing agreement reported; no global-chipmaker strategic contract verified.</t>
  </si>
  <si>
    <t>Genus Power, HPL Electric, Dixon and Kaynes are prospective adopters or manufacturing partners.</t>
  </si>
  <si>
    <t>ONT/router OEMs, telecom-equipment companies and broadband access providers.</t>
  </si>
  <si>
    <t>OEM engagement reported without public contracted volumes.</t>
  </si>
  <si>
    <t>Clear import-substitution use case; require interoperability, operator qualification and competitive bill of materials.</t>
  </si>
  <si>
    <t>HFCL, Tejas Networks, ITI and Dixon are prospective adopters.</t>
  </si>
  <si>
    <t>IoT sensor makers and industrial monitoring device OEMs.</t>
  </si>
  <si>
    <t>No named purchase order or recurring product revenue verified.</t>
  </si>
  <si>
    <t>Attractive niche if harvested energy and system cost outperform battery-only designs. Named design wins are still required.</t>
  </si>
  <si>
    <t>L&amp;T, Siemens India, ABB India and Indian industrial-sensor integrators are prospective users.</t>
  </si>
  <si>
    <t>Battery-pack makers, EV OEMs and energy-storage system manufacturers.</t>
  </si>
  <si>
    <t>Battery management has clear demand, but automotive qualification and safety requirements create long sales cycles.</t>
  </si>
  <si>
    <t>Exide Industries, Amara Raja Energy &amp; Mobility, Tata Motors, M&amp;M and TVS Motor are prospective users.</t>
  </si>
  <si>
    <t>Defence/imaging equipment OEMs and specialist camera manufacturers.</t>
  </si>
  <si>
    <t>Strategic-government engagement and consortium MoUs exist; public recurring orders not verified.</t>
  </si>
  <si>
    <t>2025 MoU with Kaynes Semicon, SPARSHIQ and consortium partners. Indo-US Bharat Semi/3rdiTech fab collaboration announced in 2024 is not proof of an operational fab.</t>
  </si>
  <si>
    <t>BEL, HAL, Data Patterns and Kaynes are prospective users/packaging participants; Kaynes MoU is confirmed at consortium level.</t>
  </si>
  <si>
    <t>Tyre manufacturers, automotive electronics suppliers, fleet-system providers and vehicle OEMs.</t>
  </si>
  <si>
    <t>Specific automotive pain point; automotive reliability, tyre integration and a paying tier-one partner are gating items.</t>
  </si>
  <si>
    <t>MRF, Apollo Tyres, CEAT, JK Tyre, Tata Motors and M&amp;M are prospective users.</t>
  </si>
  <si>
    <t>Telecom, navigation, satellite-equipment and industrial-IoT manufacturers.</t>
  </si>
  <si>
    <t>C-DOT is a named development counterparty; this is stronger than an unnamed pipeline but not equivalent to commercial chip volume.</t>
  </si>
  <si>
    <t>C-DOT TTDF contract; IIT Kanpur research collaboration; NXP/FabCI accelerator association is not an offtake agreement.</t>
  </si>
  <si>
    <t>BEL, Tejas, HFCL, Data Patterns and navigation-equipment OEMs are prospective adopters.</t>
  </si>
  <si>
    <t>Wearable brands, medical-device OEMs and health-monitoring equipment suppliers.</t>
  </si>
  <si>
    <t>No named recurring-volume customer verified.</t>
  </si>
  <si>
    <t>Healthcare sensing is a useful niche, but chip performance and medical-system validation must be distinguished.</t>
  </si>
  <si>
    <t>Dixon, Syrma SGS and Indian medical-electronics manufacturers are prospective users.</t>
  </si>
  <si>
    <t>Defence, aerospace, space and telecom equipment makers.</t>
  </si>
  <si>
    <t>Sansera Engineering’s strategic investment is a named relationship. Product purchase commitments not verified.</t>
  </si>
  <si>
    <t>Sansera Engineering strategic investment; not a global-semiconductor-giant purchase agreement.</t>
  </si>
  <si>
    <t>Sansera is a strategic investor. BEL, Astra Microwave and Data Patterns are prospective RF-system adopters.</t>
  </si>
  <si>
    <t>Cellular-module suppliers, IoT device makers and telecom-equipment OEMs.</t>
  </si>
  <si>
    <t>Confirm IP ownership across Indian/US entities, modem certification and module-maker design wins.</t>
  </si>
  <si>
    <t>Genus Power, HPL Electric, Tejas, HFCL and ITI are prospective adopters.</t>
  </si>
  <si>
    <t>Hydrogen producers, industrial plants, safety-equipment OEMs and gas-sensor integrators.</t>
  </si>
  <si>
    <t>Company lists clientele and demonstrations; specific recurring contract values and customer concentration not verified.</t>
  </si>
  <si>
    <t>Existing sensor products offer a nearer revenue path than a wholly new SoC. Verify field calibration, certifications and customer renewals.</t>
  </si>
  <si>
    <t>University of Cambridge technology licensing and IIT Bombay fabrication collaboration; not a global chipmaker offtake.</t>
  </si>
  <si>
    <t>Reliance Industries, L&amp;T, NTPC, Indian Oil, GAIL and industrial gas/equipment companies are prospective users.</t>
  </si>
  <si>
    <t>Fabless companies, semiconductor suppliers, lighting OEMs and embedded-system customers.</t>
  </si>
  <si>
    <t>Assess services margins and reusable-IP ownership separately from the LED product opportunity.</t>
  </si>
  <si>
    <t>Listed on Andes Technology design-services partner page; partnership does not establish order volumes.</t>
  </si>
  <si>
    <t>Havells, Dixon, HCLTech, Cyient and MosChip are prospective customers/partners; some may also compete.</t>
  </si>
  <si>
    <t>Telecom-equipment suppliers, operators, private-network customers and IoT module makers.</t>
  </si>
  <si>
    <t>C-DOT is a named development supporter; field sites are reported. Historical reporting explicitly noted weak commercial chip uptake.</t>
  </si>
  <si>
    <t>Strong technical pedigree but customer conversion is the gating risk, not simply another tape-out.</t>
  </si>
  <si>
    <t>CEVA Dragonfly NB2 IP licence; trials with Sharp Semiconductor Innovation Corporation and IIT Hyderabad; C-DOT/VVDN collaboration.</t>
  </si>
  <si>
    <t>Tejas, HFCL, ITI, Genus Power and industrial-network integrators are prospective adopters.</t>
  </si>
  <si>
    <t>Security, radar, industrial-sensing and telecom-system OEMs.</t>
  </si>
  <si>
    <t>No named recurring-volume buyer verified.</t>
  </si>
  <si>
    <t>Clear sensing niche and academic moat. Require field false-alarm performance and paid pilot conversion.</t>
  </si>
  <si>
    <t>AMD CSR grant through IISc FSID announced June 2025. This is non-dilutive corporate support, not AMD buying chips.</t>
  </si>
  <si>
    <t>BEL, Data Patterns, Astra Microwave, L&amp;T and Adani infrastructure businesses are prospective users.</t>
  </si>
  <si>
    <t>Defence/security agencies, critical-infrastructure operators and semiconductor-design customers.</t>
  </si>
  <si>
    <t>Indian Defence is a named co-development counterparty, not proof of a recurring procurement order.</t>
  </si>
  <si>
    <t>Procurement and product-certification evidence is needed to separate a defence demonstration from a scalable business.</t>
  </si>
  <si>
    <t>BEL, HAL, L&amp;T and critical-infrastructure systems integrators are prospective users.</t>
  </si>
  <si>
    <t>Consumer-device makers, industrial OEMs and enterprises deploying AI.</t>
  </si>
  <si>
    <t>BW Tech hardware co-development is named; commercial chip customers and orders not verified.</t>
  </si>
  <si>
    <t>Existing software access could aid distribution, but chip power/performance and actual silicon need verification.</t>
  </si>
  <si>
    <t>BW Tech co-development; HPE accelerator association is not a chip purchase guarantee.</t>
  </si>
  <si>
    <t>Dixon, Kaynes, Tata Elxsi and connected-device manufacturers are prospective users.</t>
  </si>
  <si>
    <t>Automotive/electronics engineering teams, component suppliers and test organisations.</t>
  </si>
  <si>
    <t>Bosch engineering arm is a named investor and development ecosystem participant. Customer revenue and renewal cohorts not publicly verified.</t>
  </si>
  <si>
    <t>Capital-efficient tooling with a measurable engineering ROI; assess renewal quality and solver differentiation.</t>
  </si>
  <si>
    <t>Bosch investment; Mela, 1Crowd and Ideaspring backing. Bosch participation is not a universal purchase guarantee.</t>
  </si>
  <si>
    <t>Bosch India, Tata Elxsi, KPIT, L&amp;T Technology Services and automotive suppliers are prospective users.</t>
  </si>
  <si>
    <t>Telecom-equipment manufacturers, operators and private-network integrators.</t>
  </si>
  <si>
    <t>No named binding volume orders verified.</t>
  </si>
  <si>
    <t>Relevant founder experience; requires evidence of paid design wins and exportable standards-compliant products.</t>
  </si>
  <si>
    <t>Tejas, HFCL, ITI and BEL are prospective users.</t>
  </si>
  <si>
    <t>Satellite terminal, radar and telecom-equipment OEMs.</t>
  </si>
  <si>
    <t>Demonstrated fabrication is useful; commercial maturity and founder track record need verification.</t>
  </si>
  <si>
    <t>BEL, Astra Microwave, Tejas and Data Patterns are prospective users.</t>
  </si>
  <si>
    <t>AI device OEMs, industrial-sensing companies and compute infrastructure designers.</t>
  </si>
  <si>
    <t>No named recurring-volume customer verified. Kaynes is a packaging counterparty, not an end buyer.</t>
  </si>
  <si>
    <t>Potential efficiency moat, but analog-compute accuracy, software usability and manufacturing variation are material risks.</t>
  </si>
  <si>
    <t>TSMC process use and Kaynes Semicon assembly/test MoU.</t>
  </si>
  <si>
    <t>Kaynes is a named packaging partner. Netweb, Dixon and industrial OEMs are prospective adopters.</t>
  </si>
  <si>
    <t>Data-centre operators, enterprises, networking OEMs and infrastructure integrators.</t>
  </si>
  <si>
    <t>Adjacent systems opportunity. Establish whether defensibility resides in own silicon, software or assembly before assigning chip-IP valuation.</t>
  </si>
  <si>
    <t>Netweb, Tata Communications, Sify and HCLTech are prospective users/integrators.</t>
  </si>
  <si>
    <t>Indian electronics OEMs and manufacturing-service providers.</t>
  </si>
  <si>
    <t>Need a specific first product, measurable customer requirement and tape-out plan before investment underwriting.</t>
  </si>
  <si>
    <t>Dixon, Kaynes, Syrma SGS and industrial device makers are prospective users.</t>
  </si>
  <si>
    <t>Fabless chip makers and ASIC/system-design companies.</t>
  </si>
  <si>
    <t>Reusable interface IP can scale, but require foundry-specific qualification and recurring license/royalty evidence.</t>
  </si>
  <si>
    <t>MosChip, Cyient, HCLTech, L&amp;T Semiconductor Technologies and storage/server designers are prospective licensees.</t>
  </si>
  <si>
    <t>Enterprise storage OEMs, secure-compute users and infrastructure integrators.</t>
  </si>
  <si>
    <t>Need to separate proprietary controller/IP from commodity flash assembly and test data-retention/reliability.</t>
  </si>
  <si>
    <t>Netweb, BEL, HCLTech and enterprise-storage integrators are prospective users.</t>
  </si>
  <si>
    <t>Research institutions and enterprises with difficult optimisation workloads.</t>
  </si>
  <si>
    <t>Adjacent deep-tech watchlist; prove customer ROI and avoid conflating an optimiser with a general quantum computer.</t>
  </si>
  <si>
    <t>TCS, Infosys, L&amp;T and logistics/industrial enterprises are prospective solution partners/users.</t>
  </si>
  <si>
    <t>Device OEMs needing low-power embedded design and custom products.</t>
  </si>
  <si>
    <t>Confirm own-IP revenue versus project engineering; EDA access alone does not establish a fabless product business.</t>
  </si>
  <si>
    <t>Dixon, Kaynes, Tata Elxsi and device OEMs are prospective partners/users.</t>
  </si>
  <si>
    <t>EV, consumer-durable and energy-equipment OEMs.</t>
  </si>
  <si>
    <t>Potential-customer discussions are explicitly pre-commercial, not confirmed orders.</t>
  </si>
  <si>
    <t>Too early for a high-conviction product assessment without a specific chip and paid design partner.</t>
  </si>
  <si>
    <t>Havells, Dixon, TVS Motor and energy-equipment OEMs are prospective users.</t>
  </si>
  <si>
    <t>Chip companies, ASIC design houses and electronics OEM engineering teams.</t>
  </si>
  <si>
    <t>Potential profitable services business; VC fit depends on differentiated reusable IP and revenue scalability beyond hiring.</t>
  </si>
  <si>
    <t>MosChip, Cyient, HCLTech and Tata Elxsi could partner or compete in engineering delivery.</t>
  </si>
  <si>
    <t>Fabless companies, AI product startups and electronics OEMs.</t>
  </si>
  <si>
    <t>Diligence product/IP revenue separately from engineering headcount revenue.</t>
  </si>
  <si>
    <t>Achronix design-services collaboration reported; scope and active commercial pipeline should be checked.</t>
  </si>
  <si>
    <t>HCLTech, Cyient, MosChip and device manufacturers are prospective partners or competitors.</t>
  </si>
  <si>
    <t>Telecom-equipment OEMs and network-system integrators.</t>
  </si>
  <si>
    <t>Signaltron equipment using Signalchip chips is reported in rural BSNL deployments. This is more concrete than a generic partnership; recurring contracted volumes are not public.</t>
  </si>
  <si>
    <t>Field-use evidence is valuable. Assess customer concentration, modem competitiveness and a sustainable order book.</t>
  </si>
  <si>
    <t>Sridhar Vembu is mentor/investor. Zoho backing is not automatically chip offtake.</t>
  </si>
  <si>
    <t>Tejas, HFCL, ITI and Indian telecom-system integrators are prospective adopters.</t>
  </si>
  <si>
    <t>Fabless chip suppliers and integrated device manufacturers outsourcing backend processes.</t>
  </si>
  <si>
    <t>ROHM is a named strategic manufacturing counterparty. ROHM release described evaluation for potential 2026 shipments, not a guaranteed take-or-pay contract.</t>
  </si>
  <si>
    <t>More suitable for manufacturing growth/project capital than a typical small early-stage VC cheque.</t>
  </si>
  <si>
    <t>ROHM manufacturing and joint-marketing partnership announced March 2026.</t>
  </si>
  <si>
    <t>Domestic fabless firms could purchase packaging; Dixon, Kaynes and Syrma customers may benefit downstream. Other OSATs are competitors rather than automatic customers.</t>
  </si>
  <si>
    <t>Could package Indian fabless chips or fab output. Kaynes/CG Semi are potential competitors or overflow partners, not assumed customers.</t>
  </si>
  <si>
    <t>Chip suppliers seeking outsourced assembly/test and advanced packages.</t>
  </si>
  <si>
    <t>Capital-intensive expansion requires customer qualification, equipment evidence and committed funding, beyond headline capex.</t>
  </si>
  <si>
    <t>Deca Technologies advanced-packaging alliance. Technology licensing is not guaranteed capacity utilisation.</t>
  </si>
  <si>
    <t>Indian fabless suppliers and electronics manufacturers could benefit. Competes with Kaynes, CG Semi, Suchi and other packaging operators.</t>
  </si>
  <si>
    <t>Scientific-compute, life-sciences and specialised AI customers.</t>
  </si>
  <si>
    <t>Strong prior execution; high capital and software demands and overseas corporate structure affect India-fund eligibility.</t>
  </si>
  <si>
    <t>Netweb, Indian pharmaceutical companies and research-compute integrators are prospective users.</t>
  </si>
  <si>
    <t>Semiconductor design teams and chip product companies.</t>
  </si>
  <si>
    <t>Monitor tooling validation and fund domicile eligibility; not in India-core first five.</t>
  </si>
  <si>
    <t>HCLTech, Cyient, MosChip and semiconductor design centres are prospective users.</t>
  </si>
  <si>
    <t>Global electronic-product and semiconductor customers.</t>
  </si>
  <si>
    <t>Mature asset/IP transaction precedent rather than straightforward early-stage startup screening.</t>
  </si>
  <si>
    <t>Indian electronics OEMs may use relevant products, subject to confirming ownership after divestments.</t>
  </si>
  <si>
    <t>Power-electronics OEMs and semiconductor device customers.</t>
  </si>
  <si>
    <t>Project finance / strategic capital profile, outside the first-five early-stage VC screen.</t>
  </si>
  <si>
    <t>Clas-SiC technology relationship through Archean investment/licensing. SiC process access is not interchangeable with silicon CMOS or GaN.</t>
  </si>
  <si>
    <t>Archean is the listed parent. CG Power, Tata Motors, M&amp;M, BHEL and power-system suppliers are prospective downstream users.</t>
  </si>
  <si>
    <t>Telecom/broadcast equipment providers and network operators.</t>
  </si>
  <si>
    <t>Relevant exit and customer-chain comparator; exclude from fresh independent-startup shortlist.</t>
  </si>
  <si>
    <t>Tejas Networks / Tata group ownership; historical Intel Capital backing should not be confused with current independence.</t>
  </si>
  <si>
    <t>Tejas Networks is the parent/group beneficiary; Tata communications/electronics ecosystem may gain indirectly.</t>
  </si>
  <si>
    <t>Packaging developers, research labs, microfluidics and semiconductor-process customers.</t>
  </si>
  <si>
    <t>Company names SCL Mohali and IISc CeNSE and reports 51 paying customers. These are company claims; audited revenue, repeat orders and customer concentration are unverified.</t>
  </si>
  <si>
    <t>Interesting manufacturing-enabler watchlist with more concrete customer claims than many chip startups; diligence repeat equipment sales and packaging-process qualification.</t>
  </si>
  <si>
    <t>Kaynes, CG Semi, Tata Electronics and glass/advanced-packaging developers are prospective users, subject to process qualification.</t>
  </si>
  <si>
    <t>Potential process-tool supplier to Tata Electronics, Kaynes, CG Semi or advanced-packaging operators after line qualification; no contract assumed.</t>
  </si>
  <si>
    <t>Semiconductor product companies and electronics OEM engineering teams.</t>
  </si>
  <si>
    <t>Assess customer concentration, utilisation and reusable-IP revenue before assuming venture-style scalability.</t>
  </si>
  <si>
    <t>HCLTech, Cyient, MosChip and Tata Elxsi could partner or compete.</t>
  </si>
  <si>
    <t>Semiconductor companies and electronics OEMs.</t>
  </si>
  <si>
    <t>Relevant services exit comparator; unavailable as an independent startup candidate.</t>
  </si>
  <si>
    <t>Quest Global acquisition announced in 2026; transaction value not disclosed in reviewed primary release.</t>
  </si>
  <si>
    <t>Quest Global is the acquirer; Indian engineering-service firms compete or partner.</t>
  </si>
  <si>
    <t>IoT/device OEMs and industrial wireless-system integrators.</t>
  </si>
  <si>
    <t>No named recurring-volume customer verified. Module availability and certification support readiness but not sales volume.</t>
  </si>
  <si>
    <t>Module business can establish distribution before own-chip investment. Verify revenue, channel margins and whether differentiation survives standard imported module pricing.</t>
  </si>
  <si>
    <t>Nordic/Semtech-based module ecosystem and C-DAC board collaboration. Kaynes packaging MoU reported. Use of a vendor chip is not an exclusive strategic alliance.</t>
  </si>
  <si>
    <t>Dixon, Kaynes, Syrma SGS, HPL Electric and industrial device OEMs are prospective users.</t>
  </si>
  <si>
    <t>Customer evidence not disclosed in programme roster.</t>
  </si>
  <si>
    <t>Insufficient company-level evidence for investment conviction.</t>
  </si>
  <si>
    <t>No company-specific alliance established by programme roster.</t>
  </si>
  <si>
    <t>Cannot name specific beneficiaries responsibly without verifying the product and process.</t>
  </si>
  <si>
    <t>Unverified: product, node and package must be established before mapping an Indian fab/OSAT.</t>
  </si>
  <si>
    <t>Chip and electronics OEMs.</t>
  </si>
  <si>
    <t>Do not infer orders from project approval.</t>
  </si>
  <si>
    <t>Ecosystem buyer/competitor rather than VC startup.</t>
  </si>
  <si>
    <t>Potential IP/design partner for startups and domestic manufacturers.</t>
  </si>
  <si>
    <t>Discovery lead only.</t>
  </si>
  <si>
    <t>Government support by company</t>
  </si>
  <si>
    <t>Approval, project outlay, in-kind tools, public equity and cash disbursement are different. April 2026 DLI roster is a dated baseline.</t>
  </si>
  <si>
    <t>DLI financial project count</t>
  </si>
  <si>
    <t>EDA tools approved</t>
  </si>
  <si>
    <t>Company-specific support and limits</t>
  </si>
  <si>
    <t>Cash receipt / disbursement status</t>
  </si>
  <si>
    <t>Yes — April 2026 roster</t>
  </si>
  <si>
    <t>DLI financial-support approval for Vision SoC. Company reports INR 15 crore support; cash disbursement not verified. EDA-tools access separately listed in April 2026.</t>
  </si>
  <si>
    <t>No verified company-level disbursement ledger obtained.</t>
  </si>
  <si>
    <t>First DLI-approved company according to PIB; also C2S support. Approved motor-control project is separate from equity funding; cash receipt not established. EDA-tools access separately listed in April 2026.</t>
  </si>
  <si>
    <t>DLI financial-support project approved in the 1 April 2026 roster. Cash disbursement not verified. No company-specific cash incentive verified. This is not evidence that none exists. EDA-tools access separately listed in April 2026.</t>
  </si>
  <si>
    <t>No company-specific cash incentive verified. This is not evidence that none exists. EDA-tools access separately listed in April 2026.</t>
  </si>
  <si>
    <t>Not established in April roster</t>
  </si>
  <si>
    <t>MeitY-supported GaN ecosystem incubation; iDEX development support and Karnataka ELEVATE recognition reported. A contemplated fab proposal is not an ISM subsidy approval.</t>
  </si>
  <si>
    <t>No company-specific cash incentive verified. This is not evidence that none exists.</t>
  </si>
  <si>
    <t>C-DOT TTDF development support; EDA access under DLI. IIT Kanpur joint project grants must not be booked entirely as company cash.</t>
  </si>
  <si>
    <t>TDB INR 3.29 crore support in 2022, described by company as soft-loan support. New INR 37.51 crore RDI agreement announced 29 September 2026. DLI chip project also approved. Sanctions/agreements are not proof of full disbursement. EDA-tools access separately listed in April 2026.</t>
  </si>
  <si>
    <t>DLI financial support; DCIS grant of INR 5 crore reported for chip revision; C-DOT support. Avoid assigning the entire IIT Hyderabad research budget to WiSig. EDA-tools access separately listed in April 2026.</t>
  </si>
  <si>
    <t>DLI financial support and IISc ecosystem support. AMD CSR grant is corporate, not a government subsidy. EDA-tools access separately listed in April 2026.</t>
  </si>
  <si>
    <t>iDEX DISC1 winner in 2019; parliamentary SPARK support listing identifies INR 44.23 lakh. DLI EDA support, not verified DLI financial-project approval.</t>
  </si>
  <si>
    <t>DLI EDA access and DCIS 2022–23 award reported. Programme-wide INR 50 crore pool is not the company grant amount.</t>
  </si>
  <si>
    <t>DLI EDA access; earlier DoT grants reported without fully reconciled amount.</t>
  </si>
  <si>
    <t>DLI EDA support. DoT development grants are reported; exact disbursed company amount not reconciled.</t>
  </si>
  <si>
    <t>ISM approval announced May 2026. Historical 2024 articles saying no central incentive predate this approval. Cash disbursement not verified.</t>
  </si>
  <si>
    <t>ISM project approval reported. Project cost and parent investment are not startup VC raised; disbursement not verified.</t>
  </si>
  <si>
    <t>IISc INCeNSE incubation; grant support reported without reconciled company cash amount.</t>
  </si>
  <si>
    <t>DLI EDA roster; DST annual report identifies NIDHI-SSP support through GUSEC. Cash amount and disbursement not reconciled.</t>
  </si>
  <si>
    <t>Approved for EDA-tools access in 1 April 2026 parliamentary roster. No cash incentive established by this entry.</t>
  </si>
  <si>
    <t>DLI financial project approved.</t>
  </si>
  <si>
    <t>Competition recognition is not treated as a cash grant.</t>
  </si>
  <si>
    <t>Official DLI financial-support projects</t>
  </si>
  <si>
    <t>24 projects across 23 entities on 1 April 2026. Netrasemi has two. Project outlay is NOT sanctioned subsidy or cash received.</t>
  </si>
  <si>
    <t>Approved project description</t>
  </si>
  <si>
    <t>Project outlay (INR lakh)</t>
  </si>
  <si>
    <t>Source ID</t>
  </si>
  <si>
    <t>8–12 GHz hybrid-beamformer gain/phase chip</t>
  </si>
  <si>
    <t>REDEFINE SoC, IP and accelerator card</t>
  </si>
  <si>
    <t>RISC-V / POSIT SoC and accelerator</t>
  </si>
  <si>
    <t>SenseSoC-200 IoT / medical SoC</t>
  </si>
  <si>
    <t>5G baseband SoC</t>
  </si>
  <si>
    <t>Advanced tyre-monitoring IC</t>
  </si>
  <si>
    <t>Video/audio surveillance SoC</t>
  </si>
  <si>
    <t>Digital multiphase server-power controller</t>
  </si>
  <si>
    <t>Ka-band radar beamformer</t>
  </si>
  <si>
    <t>Low-power cardiac/vital-sign SoC</t>
  </si>
  <si>
    <t>Edge radar RF chips</t>
  </si>
  <si>
    <t>VEGA GPON / broadband network SoC</t>
  </si>
  <si>
    <t>SHAKTI-based vision SoC</t>
  </si>
  <si>
    <t>Multicore superscalar RISC-V processor</t>
  </si>
  <si>
    <t>LTE Cat-1 bis / NB-IoT baseband</t>
  </si>
  <si>
    <t>Edge-AI / video SoC</t>
  </si>
  <si>
    <t>64 TOPS ML accelerator on 12 nm TSMC</t>
  </si>
  <si>
    <t>Energy-harvesting power-management chip</t>
  </si>
  <si>
    <t>5G NB-IoT terrestrial / satellite SoC</t>
  </si>
  <si>
    <t>VIDYUT smart-energy-meter IC</t>
  </si>
  <si>
    <t>MEMS gas sensor and CMOS analog front end</t>
  </si>
  <si>
    <t>Mixed-signal motor-control MCU</t>
  </si>
  <si>
    <t>Linear LED-driver IC</t>
  </si>
  <si>
    <t>Low-light single-photon image sensor</t>
  </si>
  <si>
    <t>Nine-part business-model matrix for every entry</t>
  </si>
  <si>
    <t>Filter by Company to see all nine requested fields. Revenue/cost descriptions are business-model inferences, not reported financial statements.</t>
  </si>
  <si>
    <t>Matrix component</t>
  </si>
  <si>
    <t>Company-specific business-model assessment</t>
  </si>
  <si>
    <t>Evidence status</t>
  </si>
  <si>
    <t>Supporting source IDs</t>
  </si>
  <si>
    <t>Value Proposition</t>
  </si>
  <si>
    <t>Inferred from stated offering: Local controllers for smart meters, access control, industrial devices and cameras can reduce dependence on imported controllers and improve local technical support.</t>
  </si>
  <si>
    <t>Analyst model; source facts separately identified. Not a company-approved canvas.</t>
  </si>
  <si>
    <t>Customer Segment</t>
  </si>
  <si>
    <t>Customer Channel</t>
  </si>
  <si>
    <t>Inferred: direct technical sales, evaluation boards/samples and OEM design-in support.</t>
  </si>
  <si>
    <t>Customer Relationships</t>
  </si>
  <si>
    <t>Inferred: multi-year design-in relationship, qualification support, firmware/application engineering and lifecycle supply.</t>
  </si>
  <si>
    <t>Key Activities</t>
  </si>
  <si>
    <t>Inferred: architecture/design, verification, foundry coordination, silicon validation, qualification and application support.</t>
  </si>
  <si>
    <t>Key Resources</t>
  </si>
  <si>
    <t>Inferred: proprietary designs, engineering team, EDA access, test infrastructure and process know-how. Ownership must be verified.</t>
  </si>
  <si>
    <t>Key Partnerships</t>
  </si>
  <si>
    <t>Reported relationships: Bosch BGSW MoU / startup alliance; Pinetics integration. Neither establishes a guaranteed minimum purchase. PRAMA India agreement explores Vision SoC use in CCTV cameras; not a volume purchase commitment.</t>
  </si>
  <si>
    <t>Revenues</t>
  </si>
  <si>
    <t>Inferred: chip/module sales and possible paid custom development. Actual revenue, margins and pricing are not publicly verified.</t>
  </si>
  <si>
    <t>Costs</t>
  </si>
  <si>
    <t>Inferred: engineering payroll, EDA/IP licences, masks/tape-outs, wafers, packaging/test, qualification, applications support and inventory.</t>
  </si>
  <si>
    <t>Inferred from stated offering: More efficient fans and appliances, accurate smart meters, industrial motor drives and reliable aerospace instrumentation.</t>
  </si>
  <si>
    <t>Reported relationships: UMC and TSMC process use is reported by PIB. Samsung SAFE IP participation is reported in Bharat Innovates material; it is an ecosystem relationship, not an offtake contract. InCore processor IP used in BLDC controller, confirmed by PIB in August 2026.</t>
  </si>
  <si>
    <t>Inferred from stated offering: Local radar electronics, defence communications, satellite terminals and telecom equipment can substitute imported RF components.</t>
  </si>
  <si>
    <t>Reported relationships: Commercial manufacturing partnership with GlobalFoundries announced 11 June 2026; DigiKey distribution. Qualcomm mentorship is not a customer order.</t>
  </si>
  <si>
    <t>Inferred from stated offering: Domestic IP ownership for metering, cameras, industrial controllers and future custom chips. Enables Indian companies to design products without building a CPU team from scratch.</t>
  </si>
  <si>
    <t>Inferred: direct licensing to chip architects, foundry/design-service ecosystem referrals.</t>
  </si>
  <si>
    <t>Inferred: long design cycles, integration support, maintenance and royalty reporting.</t>
  </si>
  <si>
    <t>Inferred: reusable IP design/verification, process porting, test-chip validation and customer integration.</t>
  </si>
  <si>
    <t>Reported relationships: HCL and Tessolve solution collaborations; RISC-V ecosystem. An open instruction-set standard is not an exclusive global-chipmaker alliance.</t>
  </si>
  <si>
    <t>Inferred: upfront IP licence fees, customisation/support fees and per-chip royalties. Actual mix is undisclosed.</t>
  </si>
  <si>
    <t>Inferred: senior engineers, verification, EDA tools, process-porting/test chips and customer support.</t>
  </si>
  <si>
    <t>Inferred from stated offering: Can improve productivity of India’s chip-design teams and help smaller fabless companies cope with scarce experienced analog engineers.</t>
  </si>
  <si>
    <t>Inferred: direct engineering-team sales, paid pilots and integration partners.</t>
  </si>
  <si>
    <t>Inferred: annual licences, technical support, workflow integration and renewals.</t>
  </si>
  <si>
    <t>Inferred: software/solver/model R&amp;D, workflow integration, benchmarking and enterprise support.</t>
  </si>
  <si>
    <t>Inferred: algorithms, training/validation data rights, experienced engineers and EDA integrations.</t>
  </si>
  <si>
    <t>Reported relationships: UTEC, Endiya and Exfinity are financial investors. The founders’ former Renesas exit is not a current Maieutic–Renesas partnership.</t>
  </si>
  <si>
    <t>Inferred: software subscriptions or licences, enterprise contracts and support. Paid ARR/renewals are undisclosed.</t>
  </si>
  <si>
    <t>Inferred: engineering, compute, testing, integrations, enterprise sales and support; limited wafer inventory exposure.</t>
  </si>
  <si>
    <t>Inferred from stated offering: Supports efficient AI servers and data-centre power systems. Indian adoption depends on server-design qualification rather than data-centre construction alone.</t>
  </si>
  <si>
    <t>Reported relationships: TDK Ventures strategic investment; Tower Semiconductor / GlobalFoundries fabrication routes. Infineon announced acquisition on 24 August 2026; release expected Q3 closing, separate closing confirmation not located.</t>
  </si>
  <si>
    <t>Inferred from stated offering: Local RF supply for radar, telecom and strategic electronics. Power-device applications are a longer-term option and should not be confused with qualified charger or EV products.</t>
  </si>
  <si>
    <t>Inferred: materials/device R&amp;D, epitaxy/process engineering, fabrication, metrology, reliability and yield improvement.</t>
  </si>
  <si>
    <t>Inferred: device/process IP, specialist researchers, cleanroom equipment and reproducible process recipes.</t>
  </si>
  <si>
    <t>Reported relationships: IISc GaN ecosystem; iDEX development relationship. No purchase commitment from a global semiconductor giant verified.</t>
  </si>
  <si>
    <t>Inferred: wafer/device sales, process services and possible licensing. Commercial mix undisclosed.</t>
  </si>
  <si>
    <t>Inferred: R&amp;D, epitaxy/fab equipment, substrates, chemicals/gases, yield loss, energy and qualification.</t>
  </si>
  <si>
    <t>Inferred from stated offering: Processes camera and sensor data locally, reducing network dependence and supporting surveillance, automation and robotics.</t>
  </si>
  <si>
    <t>Reported relationships: TSMC manufacturing/process relationship; Zoho strategic investment. No guaranteed purchase volumes verified.</t>
  </si>
  <si>
    <t>Inferred from stated offering: Supports indigenous camera electronics and local control over security-sensitive silicon and firmware.</t>
  </si>
  <si>
    <t>Reported relationships: Not publicly verified</t>
  </si>
  <si>
    <t>Inferred from stated offering: Potential acceleration for industrial, defence and scientific workloads, subject to real application benchmarks and software portability.</t>
  </si>
  <si>
    <t>Inferred from stated offering: Scientific computing, engineering simulations and specialised AI workloads; value must be demonstrated against current CPU/GPU systems on complete applications.</t>
  </si>
  <si>
    <t>Inferred from stated offering: Local custom chips for wearables, consumer devices and connected industrial products, reducing the need to adapt generic imported chips.</t>
  </si>
  <si>
    <t>Reported relationships: boAt product collaboration; Persistent Systems strategic investment. No global-chipmaker offtake verified.</t>
  </si>
  <si>
    <t>Inferred from stated offering: Potential domestic AI compute IP; commercial success requires global performance, software and cost competitiveness, not domestic demand alone.</t>
  </si>
  <si>
    <t>Inferred from stated offering: Battery-powered sensing, connected healthcare, metering and industrial monitoring.</t>
  </si>
  <si>
    <t>Reported relationships: Kaynes Semicon packaging/testing agreement reported; no global-chipmaker strategic contract verified.</t>
  </si>
  <si>
    <t>Inferred from stated offering: Domestic chips for fibre-to-home equipment and broadband deployment.</t>
  </si>
  <si>
    <t>Inferred from stated offering: Long-life or battery-light sensors for agriculture, industrial monitoring and remote infrastructure.</t>
  </si>
  <si>
    <t>Inferred from stated offering: Battery safety, state monitoring and system integration for electric vehicles and energy storage.</t>
  </si>
  <si>
    <t>Inferred from stated offering: Domestic high-performance imaging for security, defence, industrial inspection and vehicle cameras.</t>
  </si>
  <si>
    <t>Reported relationships: 2025 MoU with Kaynes Semicon, SPARSHIQ and consortium partners. Indo-US Bharat Semi/3rdiTech fab collaboration announced in 2024 is not proof of an operational fab.</t>
  </si>
  <si>
    <t>Inferred from stated offering: Improves tyre safety and fleet maintenance for Indian commercial vehicles and passenger vehicles.</t>
  </si>
  <si>
    <t>Inferred from stated offering: Domestic NavIC/GNSS receivers and communication electronics for tracking, transport and strategic systems.</t>
  </si>
  <si>
    <t>Reported relationships: C-DOT TTDF contract; IIT Kanpur research collaboration; NXP/FabCI accelerator association is not an offtake agreement.</t>
  </si>
  <si>
    <t>Inferred from stated offering: More affordable wearable and remote-monitoring electronics for India’s healthcare system.</t>
  </si>
  <si>
    <t>Inferred from stated offering: Radar, aerospace, satellite and telecom electronics with local development capability.</t>
  </si>
  <si>
    <t>Reported relationships: Sansera Engineering strategic investment; not a global-semiconductor-giant purchase agreement.</t>
  </si>
  <si>
    <t>Inferred from stated offering: Cellular links for meters, trackers and industrial IoT devices.</t>
  </si>
  <si>
    <t>Inferred from stated offering: Hydrogen safety, industrial-process monitoring and emissions measurement for India’s clean-energy and manufacturing buildout.</t>
  </si>
  <si>
    <t>Reported relationships: University of Cambridge technology licensing and IIT Bombay fabrication collaboration; not a global chipmaker offtake.</t>
  </si>
  <si>
    <t>Inferred from stated offering: Supports domestic chip-development execution and potentially local LED-lighting electronics.</t>
  </si>
  <si>
    <t>Inferred: direct B2B account sales, engineering partnerships and repeat project referrals.</t>
  </si>
  <si>
    <t>Inferred: project statements of work, embedded teams, milestone acceptance and repeat engagements.</t>
  </si>
  <si>
    <t>Inferred: design/verification/implementation, staffing, project delivery and customer validation.</t>
  </si>
  <si>
    <t>Reported relationships: Listed on Andes Technology design-services partner page; partnership does not establish order volumes.</t>
  </si>
  <si>
    <t>Inferred: engineering time, fixed-price projects and possible IP/product licences; actual mix undisclosed.</t>
  </si>
  <si>
    <t>Inferred: engineers, recruitment, EDA tools, computing, delivery management and sales. Utilisation drives margins.</t>
  </si>
  <si>
    <t>Inferred from stated offering: Rural broadband, private industrial networks and low-power connected meters/sensors.</t>
  </si>
  <si>
    <t>Reported relationships: CEVA Dragonfly NB2 IP licence; trials with Sharp Semiconductor Innovation Corporation and IIT Hyderabad; C-DOT/VVDN collaboration.</t>
  </si>
  <si>
    <t>Inferred from stated offering: Drone detection, industrial safety, infrastructure monitoring and security where optical cameras struggle.</t>
  </si>
  <si>
    <t>Reported relationships: AMD CSR grant through IISc FSID announced June 2025. This is non-dilutive corporate support, not AMD buying chips.</t>
  </si>
  <si>
    <t>Inferred from stated offering: Secure defence communications and protection of industrial networks, alongside outsourced chip-design execution.</t>
  </si>
  <si>
    <t>Inferred from stated offering: Local-language voice interfaces, low-power device intelligence and industrial vision.</t>
  </si>
  <si>
    <t>Reported relationships: BW Tech co-development; HPE accelerator association is not a chip purchase guarantee.</t>
  </si>
  <si>
    <t>Inferred from stated offering: Faster development and fewer rework cycles for automotive electronics, appliances and industrial equipment.</t>
  </si>
  <si>
    <t>Reported relationships: Bosch investment; Mela, 1Crowd and Ideaspring backing. Bosch participation is not a universal purchase guarantee.</t>
  </si>
  <si>
    <t>Inferred from stated offering: Domestic telecom network equipment and radio/edge processing.</t>
  </si>
  <si>
    <t>Inferred from stated offering: Electronically steered antennas for telecom, satellite access and defence.</t>
  </si>
  <si>
    <t>Inferred from stated offering: Potentially lower-energy AI inference for industrial sensing, edge devices and larger compute systems.</t>
  </si>
  <si>
    <t>Reported relationships: TSMC process use and Kaynes Semicon assembly/test MoU.</t>
  </si>
  <si>
    <t>Inferred from stated offering: More efficient data movement and utilisation of Indian data-centre infrastructure.</t>
  </si>
  <si>
    <t>Inferred from stated offering: Application-specific local silicon and closer support for Indian electronics manufacturers.</t>
  </si>
  <si>
    <t>Inferred from stated offering: Enables domestic data-centre, storage and communication-chip designs to move data efficiently.</t>
  </si>
  <si>
    <t>Inferred from stated offering: Secure local storage for enterprise, defence and data-centre applications.</t>
  </si>
  <si>
    <t>Inferred from stated offering: Potential optimisation of logistics, industrial scheduling and scientific workloads. Not a direct substitute for general semiconductor fabrication.</t>
  </si>
  <si>
    <t>Inferred from stated offering: Longer battery life and local embedded engineering for wearables, drones and connected devices.</t>
  </si>
  <si>
    <t>Inferred from stated offering: Local chip design adapted to Indian OEM requirements.</t>
  </si>
  <si>
    <t>Inferred from stated offering: Expands engineering capacity for Indian and global chip-development programmes.</t>
  </si>
  <si>
    <t>Inferred from stated offering: Helps OEMs execute custom silicon and embedded products with local engineering teams.</t>
  </si>
  <si>
    <t>Reported relationships: Achronix design-services collaboration reported; scope and active commercial pipeline should be checked.</t>
  </si>
  <si>
    <t>Inferred from stated offering: Domestic network-equipment silicon for rural broadband and mobile communications.</t>
  </si>
  <si>
    <t>Reported relationships: Sridhar Vembu is mentor/investor. Zoho backing is not automatically chip offtake.</t>
  </si>
  <si>
    <t>Inferred from stated offering: Adds domestic packaging capacity for power, automotive, consumer and industrial chips.</t>
  </si>
  <si>
    <t>Inferred: direct foundry/fabless account sales and technology-partner referrals.</t>
  </si>
  <si>
    <t>Inferred: package/process qualification followed by volume supply and quality/yield agreements.</t>
  </si>
  <si>
    <t>Inferred: die assembly, packaging, test, reliability engineering, process control and equipment maintenance.</t>
  </si>
  <si>
    <t>Inferred: plant, equipment, qualified process recipes, operators and customer quality approvals.</t>
  </si>
  <si>
    <t>Reported relationships: ROHM manufacturing and joint-marketing partnership announced March 2026.</t>
  </si>
  <si>
    <t>Inferred: assembly/test fees by unit, package and service, plus engineering charges. Contracted utilisation undisclosed.</t>
  </si>
  <si>
    <t>Inferred: equipment depreciation, facilities, materials, labour, power, maintenance and working capital.</t>
  </si>
  <si>
    <t>Inferred from stated offering: Local packaging and testing for semiconductor suppliers and electronics supply chains.</t>
  </si>
  <si>
    <t>Reported relationships: Deca Technologies advanced-packaging alliance. Technology licensing is not guaranteed capacity utilisation.</t>
  </si>
  <si>
    <t>Inferred from stated offering: Potential scientific/AI compute and drug-discovery infrastructure; Indian R&amp;D contributes IP, but the corporate headquarters are in the US.</t>
  </si>
  <si>
    <t>Inferred from stated offering: Could improve productivity for Indian and global chip designers; an Indian founder alone does not make the company India-headquartered.</t>
  </si>
  <si>
    <t>Inferred from stated offering: Specialised components for communications, consumer electronics and power systems.</t>
  </si>
  <si>
    <t>Inferred from stated offering: Potential local power devices for EVs, renewable-energy converters and industrial power systems.</t>
  </si>
  <si>
    <t>Reported relationships: Clas-SiC technology relationship through Archean investment/licensing. SiC process access is not interchangeable with silicon CMOS or GaN.</t>
  </si>
  <si>
    <t>Inferred from stated offering: Telecom network equipment, direct-to-mobile broadcasting and strategic communications.</t>
  </si>
  <si>
    <t>Reported relationships: Tejas Networks / Tata group ownership; historical Intel Capital backing should not be confused with current independence.</t>
  </si>
  <si>
    <t>Inferred from stated offering: Enables glass-based advanced packaging, MEMS and medical-device prototyping in India.</t>
  </si>
  <si>
    <t>Inferred: technical demonstrations, direct fab/OSAT sales and research-institute referrals.</t>
  </si>
  <si>
    <t>Inferred: process trials, equipment acceptance, installation, service and repeat equipment orders.</t>
  </si>
  <si>
    <t>Inferred: equipment engineering, process development, manufacturing, installation and application support.</t>
  </si>
  <si>
    <t>Inferred: process/equipment IP, engineering team, demonstrated recipes and installed base.</t>
  </si>
  <si>
    <t>Inferred: equipment sales, fabrication services, maintenance and consumables if contracted. Mix undisclosed.</t>
  </si>
  <si>
    <t>Inferred: engineering, equipment components, assembly, field service, demonstration systems and working capital.</t>
  </si>
  <si>
    <t>Inferred from stated offering: Adds local engineering capacity for telecom, automotive and industrial product development.</t>
  </si>
  <si>
    <t>Inferred from stated offering: Supports semiconductor engineering for global and Indian customers.</t>
  </si>
  <si>
    <t>Reported relationships: Quest Global acquisition announced in 2026; transaction value not disclosed in reviewed primary release.</t>
  </si>
  <si>
    <t>Inferred from stated offering: Local wireless modules for tracking, smart buildings, industrial IoT and connected consumer devices.</t>
  </si>
  <si>
    <t>Reported relationships: Nordic/Semtech-based module ecosystem and C-DAC board collaboration. Kaynes packaging MoU reported. Use of a vendor chip is not an exclusive strategic alliance.</t>
  </si>
  <si>
    <t>Unverified. The available roster/context does not establish this business-model field.</t>
  </si>
  <si>
    <t>Unverified / diligence gap</t>
  </si>
  <si>
    <t>Where large Indian companies could benefit</t>
  </si>
  <si>
    <t>Analyst mapping, except relationships explicitly described as confirmed. Startup products must pass customer and process qualification.</t>
  </si>
  <si>
    <t>Company / group</t>
  </si>
  <si>
    <t>Listing / ownership</t>
  </si>
  <si>
    <t>Position in value chain</t>
  </si>
  <si>
    <t>Potential benefit</t>
  </si>
  <si>
    <t>Relevant startup examples</t>
  </si>
  <si>
    <t>Important boundary</t>
  </si>
  <si>
    <t>Source / reference</t>
  </si>
  <si>
    <t>Tata Electronics / Tata Semiconductor Assembly</t>
  </si>
  <si>
    <t>Unlisted Tata businesses</t>
  </si>
  <si>
    <t>Silicon foundry and chip assembly/test</t>
  </si>
  <si>
    <t>Fabless logic/analog designs may create wafer and packaging demand after process/package qualification.</t>
  </si>
  <si>
    <t>Mindgrove, Vervesemi, Netrasemi, BigEndian, InCore-enabled customer designs</t>
  </si>
  <si>
    <t>Not a direct listed Tata-stock exposure. Node/IP compatibility and actual commissioning must be checked.</t>
  </si>
  <si>
    <t>https://www.tataelectronics.com/</t>
  </si>
  <si>
    <t>Kaynes Semicon / Kaynes Technology</t>
  </si>
  <si>
    <t>Subsidiary / listed parent</t>
  </si>
  <si>
    <t>OSAT and semiconductor backend</t>
  </si>
  <si>
    <t>Assembly, test and package engineering for Indian-designed chips.</t>
  </si>
  <si>
    <t>optoML and 3rdiTech consortium have named MoUs; other startups are prospective.</t>
  </si>
  <si>
    <t>MoUs are not guaranteed orders; qualify package, test programme, yield and price.</t>
  </si>
  <si>
    <t>https://www.kaynestechnology.co.in/</t>
  </si>
  <si>
    <t>CG Semi / CG Power</t>
  </si>
  <si>
    <t>JV / listed parent</t>
  </si>
  <si>
    <t>OSAT</t>
  </si>
  <si>
    <t>Potential domestic packaging/test provider and anchor ecosystem participant.</t>
  </si>
  <si>
    <t>Analog, power, RF and IoT chip startups, subject to qualification.</t>
  </si>
  <si>
    <t>Competes with other OSATs. Renesas/Stars relationship does not automatically extend to every startup.</t>
  </si>
  <si>
    <t>https://www.cgglobal.com/</t>
  </si>
  <si>
    <t>SiCSem / Archean Chemical Industries</t>
  </si>
  <si>
    <t>Corporate venture / listed parent</t>
  </si>
  <si>
    <t>SiC compound fab and packaging project</t>
  </si>
  <si>
    <t>Potential local SiC supply for EV and industrial power customers.</t>
  </si>
  <si>
    <t>Power-system OEMs and compatible SiC design/process partners.</t>
  </si>
  <si>
    <t>GaN is not SiC. Do not assume Agnit devices can be made in this process.</t>
  </si>
  <si>
    <t>https://sicsem.com/</t>
  </si>
  <si>
    <t>RIR Power Electronics</t>
  </si>
  <si>
    <t>Listed</t>
  </si>
  <si>
    <t>Power/compound-semiconductor ecosystem</t>
  </si>
  <si>
    <t>Potential process, packaging and market collaboration for power devices.</t>
  </si>
  <si>
    <t>Qualified power-device developers; relationship is hypothetical.</t>
  </si>
  <si>
    <t>Validate actual process capability and qualification; no startup contract assumed.</t>
  </si>
  <si>
    <t>https://www.ruttonsha.com/</t>
  </si>
  <si>
    <t>MosChip / Cyient / HCLTech</t>
  </si>
  <si>
    <t>Listed engineering/IP businesses</t>
  </si>
  <si>
    <t>Design services and integration</t>
  </si>
  <si>
    <t>Can license IP, use design tools, or integrate startup technology into customer ASICs.</t>
  </si>
  <si>
    <t>InCore, Maieutic, SimYog, Terminus; other design-service firms may also compete.</t>
  </si>
  <si>
    <t>HCL/Tessolve collaboration is stated by InCore; other named matches are analyst inference.</t>
  </si>
  <si>
    <t>https://incoresemi.com/news/incore-building-a-semiconductors-ecosystem-out-of-india/</t>
  </si>
  <si>
    <t>L&amp;T Semiconductor Technologies</t>
  </si>
  <si>
    <t>Unlisted subsidiary of listed L&amp;T</t>
  </si>
  <si>
    <t>Fabless products and design ecosystem</t>
  </si>
  <si>
    <t>Potential IP/tool user, technology partner or competitor.</t>
  </si>
  <si>
    <t>InCore, Maieutic, Terminus, analog and sensing startups.</t>
  </si>
  <si>
    <t>No purchase or acquisition intention assumed.</t>
  </si>
  <si>
    <t>https://www.ltsct.com/</t>
  </si>
  <si>
    <t>BEL / HAL / Data Patterns / Astra Microwave</t>
  </si>
  <si>
    <t>Defence / aerospace equipment</t>
  </si>
  <si>
    <t>Could use qualified local RF, imaging, sensing and secure-compute chips.</t>
  </si>
  <si>
    <t>FermionIC, Agnit, MMRFIC, Aagyavision, 3rdiTech, Chipspirit.</t>
  </si>
  <si>
    <t>Long qualification and procurement cycles; end users may buy modules through tier-one integrators.</t>
  </si>
  <si>
    <t>https://bel-india.in/</t>
  </si>
  <si>
    <t>Dixon / Syrma SGS / Kaynes Technology</t>
  </si>
  <si>
    <t>Electronics manufacturing and design</t>
  </si>
  <si>
    <t>Can integrate local chips when the brand owner approves the bill of materials.</t>
  </si>
  <si>
    <t>Mindgrove, Netrasemi, BigEndian, Sensesemi, HrdWyr.</t>
  </si>
  <si>
    <t>An EMS supplier may not control chip choice; qualify with both OEM and manufacturer.</t>
  </si>
  <si>
    <t>https://www.dixoninfo.com/</t>
  </si>
  <si>
    <t>Genus Power / HPL Electric</t>
  </si>
  <si>
    <t>Smart metering</t>
  </si>
  <si>
    <t>Potential buyers of measurement, control and communications ICs.</t>
  </si>
  <si>
    <t>Vervesemi, Mindgrove, Sensesemi, WiSig, MBit.</t>
  </si>
  <si>
    <t>Meter certification, price and lifecycle supply are gating factors.</t>
  </si>
  <si>
    <t>https://genuspower.com/</t>
  </si>
  <si>
    <t>HFCL / Tejas Networks / ITI</t>
  </si>
  <si>
    <t>Telecom equipment</t>
  </si>
  <si>
    <t>Potential customers for broadband, RF and wireless chips.</t>
  </si>
  <si>
    <t>Aheesa, Signalchip, WiSig, Ananant, Silizium, FermionIC.</t>
  </si>
  <si>
    <t>Interoperability and operator approval are essential; Tejas already owns Saankhya.</t>
  </si>
  <si>
    <t>https://www.tejasnetworks.com/</t>
  </si>
  <si>
    <t>Netweb Technologies</t>
  </si>
  <si>
    <t>Servers / compute integration</t>
  </si>
  <si>
    <t>Potential integrator for qualified compute and power platforms.</t>
  </si>
  <si>
    <t>Calligo, optoML, Agrani, Morphing; C2i now an acquisition precedent.</t>
  </si>
  <si>
    <t>Performance-per-rupee and software compatibility determine adoption; no actual purchase assumed.</t>
  </si>
  <si>
    <t>https://netwebindia.com/</t>
  </si>
  <si>
    <t>Source register</t>
  </si>
  <si>
    <t>Publicly accessible company, investor, government and database pages reviewed on 1 October 2026. Source IDs accompany each company record.</t>
  </si>
  <si>
    <t>Company / scope</t>
  </si>
  <si>
    <t>Claims supported</t>
  </si>
  <si>
    <t>Publisher / document</t>
  </si>
  <si>
    <t>URL</t>
  </si>
  <si>
    <t>All</t>
  </si>
  <si>
    <t>EDA roster / DLI project approval</t>
  </si>
  <si>
    <t>Government of India, Lok Sabha Q6140, 1 Apr 2026</t>
  </si>
  <si>
    <t>https://sansad.in/getFile/loksabhaquestions/annex/187/AU6140_qbSWBV.pdf?source=pqals</t>
  </si>
  <si>
    <t>S002</t>
  </si>
  <si>
    <t>Company, founders, funding, milestones</t>
  </si>
  <si>
    <t>www.mindgrovetech.in</t>
  </si>
  <si>
    <t>https://www.mindgrovetech.in/about-us</t>
  </si>
  <si>
    <t>S003</t>
  </si>
  <si>
    <t>www.iitm.ac.in</t>
  </si>
  <si>
    <t>https://www.iitm.ac.in/happenings/press-releases-and-coverages/iit-m-start-mindgrove-technologies-launches-first</t>
  </si>
  <si>
    <t>S004</t>
  </si>
  <si>
    <t>Bosch alliance</t>
  </si>
  <si>
    <t>www.bosch-softwaretechnologies.com</t>
  </si>
  <si>
    <t>https://www.bosch-softwaretechnologies.com/en/our-company/about-us/dna-nxt-start-up-alliance-program%E2%80%8B/success-stories/</t>
  </si>
  <si>
    <t>S005</t>
  </si>
  <si>
    <t>Commercial progress, 17 Sep 2026</t>
  </si>
  <si>
    <t>www.livemint.com</t>
  </si>
  <si>
    <t>https://www.livemint.com/companies/news/indian-chip-startup-mindgrove-technologies-eyes-first-revenues-this-fiscal-year-11789563796918.html</t>
  </si>
  <si>
    <t>S006</t>
  </si>
  <si>
    <t>15 August 2026 government milestone update</t>
  </si>
  <si>
    <t>www.pib.gov.in</t>
  </si>
  <si>
    <t>https://www.pib.gov.in/PressReleasePage.aspx?PRID=2299883&amp;lang=1&amp;reg=3</t>
  </si>
  <si>
    <t>S007</t>
  </si>
  <si>
    <t>Founders / products</t>
  </si>
  <si>
    <t>www.vervesemi.com</t>
  </si>
  <si>
    <t>https://www.vervesemi.com/about.html</t>
  </si>
  <si>
    <t>S008</t>
  </si>
  <si>
    <t>Funding, silicon status and government support</t>
  </si>
  <si>
    <t>https://www.pib.gov.in/PressReleasePage.aspx?PRID=2229659&amp;lang=1&amp;reg=3</t>
  </si>
  <si>
    <t>S009</t>
  </si>
  <si>
    <t>Samsung ecosystem and profile</t>
  </si>
  <si>
    <t>www.eoilisbon.gov.in</t>
  </si>
  <si>
    <t>https://www.eoilisbon.gov.in/docs/Startup-Profiles-%28120-companies%29-Bharat-Innovates-2026.pdf</t>
  </si>
  <si>
    <t>S010</t>
  </si>
  <si>
    <t>S011</t>
  </si>
  <si>
    <t>Founders / funding</t>
  </si>
  <si>
    <t>inc42.com</t>
  </si>
  <si>
    <t>https://inc42.com/company/fermionic-design/</t>
  </si>
  <si>
    <t>S012</t>
  </si>
  <si>
    <t>Product / founders</t>
  </si>
  <si>
    <t>fermionicdesign.com</t>
  </si>
  <si>
    <t>https://fermionicdesign.com/about</t>
  </si>
  <si>
    <t>S013</t>
  </si>
  <si>
    <t>GF partnership</t>
  </si>
  <si>
    <t>gf.com</t>
  </si>
  <si>
    <t>https://gf.com/news-and-events/blog/shaping-the-future-of-rf-gf-at-ims-and-rfic-2026/</t>
  </si>
  <si>
    <t>S014</t>
  </si>
  <si>
    <t>Manufacturing agreement</t>
  </si>
  <si>
    <t>economictimes.indiatimes.com</t>
  </si>
  <si>
    <t>https://economictimes.indiatimes.com/tech/technology/globalfoundries-partners-with-fermionic-to-produce-first-ever-chip-for-an-indian-firm/articleshow/131652925.cms</t>
  </si>
  <si>
    <t>S015</t>
  </si>
  <si>
    <t>www.linkedin.com</t>
  </si>
  <si>
    <t>https://www.linkedin.com/posts/fermionic-design_meity-indiasemiconductormission-ism-activity-7421932143788068864-V44m</t>
  </si>
  <si>
    <t>S016</t>
  </si>
  <si>
    <t>Channel</t>
  </si>
  <si>
    <t>www.digikey.com</t>
  </si>
  <si>
    <t>https://www.digikey.com/en/supplier-centers/fermionic-design</t>
  </si>
  <si>
    <t>S017</t>
  </si>
  <si>
    <t>Founders / investment</t>
  </si>
  <si>
    <t>www.peakxv.com</t>
  </si>
  <si>
    <t>https://www.peakxv.com/companies/incore-semiconductors</t>
  </si>
  <si>
    <t>S018</t>
  </si>
  <si>
    <t>Products / silicon milestones</t>
  </si>
  <si>
    <t>incoresemi.com</t>
  </si>
  <si>
    <t>https://incoresemi.com/</t>
  </si>
  <si>
    <t>S019</t>
  </si>
  <si>
    <t>HCL / Tessolve collaboration</t>
  </si>
  <si>
    <t>S020</t>
  </si>
  <si>
    <t>Funding</t>
  </si>
  <si>
    <t>https://inc42.com/company/incore-semiconductors/funding/</t>
  </si>
  <si>
    <t>S021</t>
  </si>
  <si>
    <t>S022</t>
  </si>
  <si>
    <t>Expanded seed funding / repeat founders</t>
  </si>
  <si>
    <t>www.maieuticsemi.com</t>
  </si>
  <si>
    <t>https://www.maieuticsemi.com/news/maieutic-funding-6-mil</t>
  </si>
  <si>
    <t>S023</t>
  </si>
  <si>
    <t>Investor profile</t>
  </si>
  <si>
    <t>www.ut-ec.co.jp</t>
  </si>
  <si>
    <t>https://www.ut-ec.co.jp/english/our_companies/maieutic-semiconductors-pvt-ltd/</t>
  </si>
  <si>
    <t>S024</t>
  </si>
  <si>
    <t>Announcement date / product</t>
  </si>
  <si>
    <t>www.business-standard.com</t>
  </si>
  <si>
    <t>https://www.business-standard.com/technology/tech-news/bengaluru-startup-maieutic-ai-chip-design-automation-125102100283_1.html</t>
  </si>
  <si>
    <t>S025</t>
  </si>
  <si>
    <t>Founders / technical product / initial seed</t>
  </si>
  <si>
    <t>www.exfinityventures.com</t>
  </si>
  <si>
    <t>https://www.exfinityventures.com/media/deeptech-startup-maieutic-semiconductor-raises-4-15-million-from-exfinity-venture-partners</t>
  </si>
  <si>
    <t>S026</t>
  </si>
  <si>
    <t>Funding / technical platform</t>
  </si>
  <si>
    <t>tdk-ventures.com</t>
  </si>
  <si>
    <t>https://tdk-ventures.com/news/announcements/tdk-ventures-invests-in-c2i-semiconductors-to-revolutionize-ai-data-center-power-delivery/</t>
  </si>
  <si>
    <t>S027</t>
  </si>
  <si>
    <t>Founders / seed / fabrication</t>
  </si>
  <si>
    <t>yali.vc</t>
  </si>
  <si>
    <t>https://yali.vc/investments/fabless-semiconductor/c2i/</t>
  </si>
  <si>
    <t>S028</t>
  </si>
  <si>
    <t>Acquisition announcement</t>
  </si>
  <si>
    <t>www.infineon.com</t>
  </si>
  <si>
    <t>https://www.infineon.com/press-release/2026/infpr202608-129</t>
  </si>
  <si>
    <t>S029</t>
  </si>
  <si>
    <t>DLI support</t>
  </si>
  <si>
    <t>https://www.pib.gov.in/PressReleasePage.aspx?PRID=2228508&amp;lang=1&amp;reg=3</t>
  </si>
  <si>
    <t>S030</t>
  </si>
  <si>
    <t>Historical funding</t>
  </si>
  <si>
    <t>yourstory.com</t>
  </si>
  <si>
    <t>https://yourstory.com/2025/07/agnit-india-gan-semiconductors</t>
  </si>
  <si>
    <t>S031</t>
  </si>
  <si>
    <t>Recent financing / shipment target</t>
  </si>
  <si>
    <t>https://www.business-standard.com/india-news/agnit-semiconductor-aims-to-scale-gan-chip-production-to-1-lakh-units-126031701251_1.html</t>
  </si>
  <si>
    <t>S032</t>
  </si>
  <si>
    <t>Pilots / proposed fab</t>
  </si>
  <si>
    <t>www.moneycontrol.com</t>
  </si>
  <si>
    <t>https://www.moneycontrol.com/technology/agnit-semiconductors-eyes-fresh-funding-weighs-gan-fab-under-semicon-2-0-article-13981367.html</t>
  </si>
  <si>
    <t>S033</t>
  </si>
  <si>
    <t>Database scope discrepancy</t>
  </si>
  <si>
    <t>https://inc42.com/company/agnit-semiconductors/</t>
  </si>
  <si>
    <t>S034</t>
  </si>
  <si>
    <t>Products / milestones</t>
  </si>
  <si>
    <t>netrasemi.com</t>
  </si>
  <si>
    <t>https://netrasemi.com/news</t>
  </si>
  <si>
    <t>S035</t>
  </si>
  <si>
    <t>Funding database</t>
  </si>
  <si>
    <t>https://inc42.com/company/netrasemi/funding/</t>
  </si>
  <si>
    <t>S036</t>
  </si>
  <si>
    <t>USD total comparator</t>
  </si>
  <si>
    <t>cdn.tracxn.com</t>
  </si>
  <si>
    <t>https://cdn.tracxn.com/marketing-campaigns/India_Tech_FY_25-26_Report_EkXGaM1bgQLAY442flmzE.pdf</t>
  </si>
  <si>
    <t>S037</t>
  </si>
  <si>
    <t>Trials</t>
  </si>
  <si>
    <t>https://economictimes.indiatimes.com/tech/artificial-intelligence/zoho-backed-netrasemi-launches-its-first-ai-chip-begins-customer-trials/articleshow/131362999.cms</t>
  </si>
  <si>
    <t>S038</t>
  </si>
  <si>
    <t>S039</t>
  </si>
  <si>
    <t>Funding / readiness</t>
  </si>
  <si>
    <t>www.vertexventures.sg</t>
  </si>
  <si>
    <t>https://www.vertexventures.sg/news/bigendian-semiconductors-raises-6m-to-strengthen-india-s-fabless-semiconductor-ecosystem/</t>
  </si>
  <si>
    <t>S040</t>
  </si>
  <si>
    <t>OEM relationships</t>
  </si>
  <si>
    <t>iangroup.vc</t>
  </si>
  <si>
    <t>https://iangroup.vc/2026/05/06/ian-alpha-fund-leads-usd-6-million-investment-round-in-bigendian-semiconductors/</t>
  </si>
  <si>
    <t>S041</t>
  </si>
  <si>
    <t>Founding team</t>
  </si>
  <si>
    <t>app.dealroom.co</t>
  </si>
  <si>
    <t>https://app.dealroom.co/companies/bigendiansemi_com</t>
  </si>
  <si>
    <t>S042</t>
  </si>
  <si>
    <t>Team</t>
  </si>
  <si>
    <t>www.morphing.in</t>
  </si>
  <si>
    <t>https://www.morphing.in/about</t>
  </si>
  <si>
    <t>S043</t>
  </si>
  <si>
    <t>Technology / roadmap</t>
  </si>
  <si>
    <t>https://www.morphing.in/technology</t>
  </si>
  <si>
    <t>S044</t>
  </si>
  <si>
    <t>https://inc42.com/company/morphing-machines/funding/</t>
  </si>
  <si>
    <t>S045</t>
  </si>
  <si>
    <t>https://inc42.com/buzz/exclusive-morphing-machines-raises-%E2%82%B942-cr-to-close-series-a-round-at-%E2%82%B980-cr/</t>
  </si>
  <si>
    <t>S046</t>
  </si>
  <si>
    <t>Company / products</t>
  </si>
  <si>
    <t>calligotech.com</t>
  </si>
  <si>
    <t>https://calligotech.com/</t>
  </si>
  <si>
    <t>S047</t>
  </si>
  <si>
    <t>Funding event</t>
  </si>
  <si>
    <t>https://economictimes.indiatimes.com/tech/funding/semiconductor-startup-calligo-technologies-raises-1-1-million-from-seafund-artha-venture-fund/articleshow/120067474.cms</t>
  </si>
  <si>
    <t>S048</t>
  </si>
  <si>
    <t>Total</t>
  </si>
  <si>
    <t>www.caplight.com</t>
  </si>
  <si>
    <t>https://www.caplight.com/company/calligotech</t>
  </si>
  <si>
    <t>S049</t>
  </si>
  <si>
    <t>Event count</t>
  </si>
  <si>
    <t>www.crunchbase.com</t>
  </si>
  <si>
    <t>https://www.crunchbase.com/organization/calligo-technologies/financial_details</t>
  </si>
  <si>
    <t>S050</t>
  </si>
  <si>
    <t>Unclosed raise</t>
  </si>
  <si>
    <t>https://economictimes.indiatimes.com/tech/funding/calligo-in-talks-to-raise-12-15-million-to-scale-indigenous-risc-v-chip-play/articleshow/130646433.cms</t>
  </si>
  <si>
    <t>S051</t>
  </si>
  <si>
    <t>www.ideaspringcap.com</t>
  </si>
  <si>
    <t>https://www.ideaspringcap.com/portfolio/hrdwyr</t>
  </si>
  <si>
    <t>S052</t>
  </si>
  <si>
    <t>Founders / backgrounds</t>
  </si>
  <si>
    <t>https://www.linkedin.com/pulse/ideaspring-capital-quarterly-update-q1-fy-2026-27-bku4f</t>
  </si>
  <si>
    <t>S053</t>
  </si>
  <si>
    <t>Funding / collaboration</t>
  </si>
  <si>
    <t>https://www.business-standard.com/amp/companies/start-ups/hrdwyr-raises-13-mn-to-scale-ai-native-chips-for-edge-devices-globally-126051200964_1.html</t>
  </si>
  <si>
    <t>S054</t>
  </si>
  <si>
    <t>Founders / seed</t>
  </si>
  <si>
    <t>https://yourstory.com/ai-story/semiconductor-startup-agrani-labs-raises-8m-in-seed-funding-round-led-by-peak-xv</t>
  </si>
  <si>
    <t>S055</t>
  </si>
  <si>
    <t>Unclosed financing discussions</t>
  </si>
  <si>
    <t>https://www.moneycontrol.com/news/business/startup/semiconductor-funding-agrani-labs-eyes-50-million-from-peak-xv-others-ananant-systems-seeks-5-million-from-up-govt-rdi-fund-14019680.html/amp</t>
  </si>
  <si>
    <t>S056</t>
  </si>
  <si>
    <t>Funding / team / roadmap</t>
  </si>
  <si>
    <t>https://economictimes.indiatimes.com/tech/funding/fabless-startup-sensesemi-raises-rs-25-crore-to-build-edge-ai-chips/articleshow/126841083.cms</t>
  </si>
  <si>
    <t>S057</t>
  </si>
  <si>
    <t>Packaging collaboration</t>
  </si>
  <si>
    <t>www.financialexpress.com</t>
  </si>
  <si>
    <t>https://www.financialexpress.com/business/industry-indias-semiconductor-push-why-the-12-bn-supply-chain-gap-threatens-2030-chip-ambitions-4346198/</t>
  </si>
  <si>
    <t>S058</t>
  </si>
  <si>
    <t>Silicon milestone</t>
  </si>
  <si>
    <t>manufacturing.economictimes.indiatimes.com</t>
  </si>
  <si>
    <t>https://manufacturing.economictimes.indiatimes.com/news/hi-tech/dli-backed-aheesas-broadband-chip-vihaan-achieves-first-pass-silicon-success/133270547</t>
  </si>
  <si>
    <t>S059</t>
  </si>
  <si>
    <t>Company / financing announcements</t>
  </si>
  <si>
    <t>https://www.linkedin.com/company/aheesa/</t>
  </si>
  <si>
    <t>S060</t>
  </si>
  <si>
    <t>S061</t>
  </si>
  <si>
    <t>TNIFMC investment announcement</t>
  </si>
  <si>
    <t>tnifmc.com</t>
  </si>
  <si>
    <t>https://tnifmc.com/news-media/</t>
  </si>
  <si>
    <t>S062</t>
  </si>
  <si>
    <t>Founders / company</t>
  </si>
  <si>
    <t>greenpmusemi.com</t>
  </si>
  <si>
    <t>https://greenpmusemi.com/about.html</t>
  </si>
  <si>
    <t>S063</t>
  </si>
  <si>
    <t>Government / product</t>
  </si>
  <si>
    <t>https://www.pib.gov.in/Pressreleaseshare.aspx?PRID=2012317&amp;lang=2&amp;reg=48</t>
  </si>
  <si>
    <t>S064</t>
  </si>
  <si>
    <t>Company product / team claims</t>
  </si>
  <si>
    <t>in.linkedin.com</t>
  </si>
  <si>
    <t>https://in.linkedin.com/company/mosart-semi</t>
  </si>
  <si>
    <t>S065</t>
  </si>
  <si>
    <t>mosartsemi.com</t>
  </si>
  <si>
    <t>https://mosartsemi.com/</t>
  </si>
  <si>
    <t>S066</t>
  </si>
  <si>
    <t>Founders / consortium</t>
  </si>
  <si>
    <t>https://economictimes.indiatimes.com/small-biz/security-tech/technology/3rditech-kaynes-semicon-and-sparshiq-sign-mou-along-with-other-consortium-partners/articleshow/123676661.cms</t>
  </si>
  <si>
    <t>S067</t>
  </si>
  <si>
    <t>Historical note</t>
  </si>
  <si>
    <t>www.cbinsights.com</t>
  </si>
  <si>
    <t>https://www.cbinsights.com/company/3rditech/financials</t>
  </si>
  <si>
    <t>S068</t>
  </si>
  <si>
    <t>Strategic programme</t>
  </si>
  <si>
    <t>https://www.business-standard.com/amp/companies/start-ups/bharat-semi-startup-behind-indo-us-partnership-in-semiconductor-fab-124092301132_1.html</t>
  </si>
  <si>
    <t>S069</t>
  </si>
  <si>
    <t>Founder background</t>
  </si>
  <si>
    <t>www.businesstoday.in</t>
  </si>
  <si>
    <t>https://www.businesstoday.in/amp/magazine/technology/story/indian-semiconductor-design-start-ups-are-struggling-to-raise-funds-whats-wrong-346513-2022-09-06</t>
  </si>
  <si>
    <t>S070</t>
  </si>
  <si>
    <t>Company profile</t>
  </si>
  <si>
    <t>https://yourstory.com/companies/ab-circuits-and-research-labs</t>
  </si>
  <si>
    <t>S071</t>
  </si>
  <si>
    <t>Founders / product</t>
  </si>
  <si>
    <t>siliziumcircuits.com</t>
  </si>
  <si>
    <t>https://siliziumcircuits.com/about-us.html</t>
  </si>
  <si>
    <t>S072</t>
  </si>
  <si>
    <t>Government development agreement</t>
  </si>
  <si>
    <t>https://www.pib.gov.in/PressReleasePage.aspx?PRID=2085078&amp;lang=2&amp;reg=3</t>
  </si>
  <si>
    <t>S073</t>
  </si>
  <si>
    <t>Joint academic grant</t>
  </si>
  <si>
    <t>www.iitk.ac.in</t>
  </si>
  <si>
    <t>https://www.iitk.ac.in/bags-grant-in-aid-for-meitys-chips-to-startup-program</t>
  </si>
  <si>
    <t>S074</t>
  </si>
  <si>
    <t>Funding / founders</t>
  </si>
  <si>
    <t>https://inc42.com/company/sophrosyne-technologies/</t>
  </si>
  <si>
    <t>S075</t>
  </si>
  <si>
    <t>Funding / product</t>
  </si>
  <si>
    <t>https://economictimes.indiatimes.com/tech/funding/semiconductor-startup-sophrosyne-technologies-raises-2-million-from-bluehill-vc/articleshow/125466494.cms</t>
  </si>
  <si>
    <t>S076</t>
  </si>
  <si>
    <t>Founder / technology</t>
  </si>
  <si>
    <t>www.mmrfic.com</t>
  </si>
  <si>
    <t>https://www.mmrfic.com/about-us.php</t>
  </si>
  <si>
    <t>S077</t>
  </si>
  <si>
    <t>Team / iDEX background</t>
  </si>
  <si>
    <t>idex.gov.in</t>
  </si>
  <si>
    <t>https://idex.gov.in/uploads/resources/1673065813_d633db5073337a8bb8dc.pdf</t>
  </si>
  <si>
    <t>S078</t>
  </si>
  <si>
    <t>Strategic investment</t>
  </si>
  <si>
    <t>idbicapital.com</t>
  </si>
  <si>
    <t>https://idbicapital.com/InstitutionReports/Uploads/SANSERA_IC_08072024.pdf</t>
  </si>
  <si>
    <t>S079</t>
  </si>
  <si>
    <t>Founder / company boundary</t>
  </si>
  <si>
    <t>www.thecompanycheck.com</t>
  </si>
  <si>
    <t>https://www.thecompanycheck.com/company/b/mbit-wireless/292e03b98a6e4f92b</t>
  </si>
  <si>
    <t>S080</t>
  </si>
  <si>
    <t>Indian legal entity</t>
  </si>
  <si>
    <t>www.zaubacorp.com</t>
  </si>
  <si>
    <t>https://www.zaubacorp.com/MBIT-WIRELESS-PRIVATE-LIMITED-U64203TN2007PTC074370</t>
  </si>
  <si>
    <t>S081</t>
  </si>
  <si>
    <t>www.multinanosense.com</t>
  </si>
  <si>
    <t>https://www.multinanosense.com/management-team</t>
  </si>
  <si>
    <t>S082</t>
  </si>
  <si>
    <t>Products / support</t>
  </si>
  <si>
    <t>https://www.multinanosense.com/latest-news</t>
  </si>
  <si>
    <t>S083</t>
  </si>
  <si>
    <t>Latest RDI agreement</t>
  </si>
  <si>
    <t>https://www.pib.gov.in/PressReleasePage.aspx?PRID=2316545&amp;lang=2&amp;reg=48</t>
  </si>
  <si>
    <t>S084</t>
  </si>
  <si>
    <t>Fabrication / licence</t>
  </si>
  <si>
    <t>inup-i2i.org</t>
  </si>
  <si>
    <t>https://inup-i2i.org/inup_wrapper/startups_list.php</t>
  </si>
  <si>
    <t>S085</t>
  </si>
  <si>
    <t>Company / services</t>
  </si>
  <si>
    <t>www.incise.in</t>
  </si>
  <si>
    <t>https://www.incise.in/about-us/</t>
  </si>
  <si>
    <t>S086</t>
  </si>
  <si>
    <t>Leadership</t>
  </si>
  <si>
    <t>https://www.incise.in/member/rakesh-adhikari/</t>
  </si>
  <si>
    <t>S087</t>
  </si>
  <si>
    <t>Andes partnership</t>
  </si>
  <si>
    <t>www.andestech.com</t>
  </si>
  <si>
    <t>https://www.andestech.com/en/partners/design-service/</t>
  </si>
  <si>
    <t>S088</t>
  </si>
  <si>
    <t>Funding / company</t>
  </si>
  <si>
    <t>bharatinnovates.in</t>
  </si>
  <si>
    <t>https://bharatinnovates.in/startups/wisig-networks</t>
  </si>
  <si>
    <t>S089</t>
  </si>
  <si>
    <t>Commercial bottleneck</t>
  </si>
  <si>
    <t>indianexpress.com</t>
  </si>
  <si>
    <t>https://indianexpress.com/article/technology/tech-news-technology/a-designed-in-india-5g-chip-fabbed-at-tsmc-is-facing-fund-crunch-low-commercial-uptake-9703103/lite/</t>
  </si>
  <si>
    <t>S090</t>
  </si>
  <si>
    <t>CEVA licence</t>
  </si>
  <si>
    <t>www.prnewswire.com</t>
  </si>
  <si>
    <t>https://www.prnewswire.com/news-releases/wisig-networks-license-cevas-cellular-iot-technology-to-serve-the-india-market-300914637.html</t>
  </si>
  <si>
    <t>S091</t>
  </si>
  <si>
    <t>www.wisig.com</t>
  </si>
  <si>
    <t>https://www.wisig.com/</t>
  </si>
  <si>
    <t>S092</t>
  </si>
  <si>
    <t>Founder / prototype</t>
  </si>
  <si>
    <t>www.inae.in</t>
  </si>
  <si>
    <t>https://www.inae.in/wp-content/uploads/2024/10/Dr-Gaurab-Banerjee-Executive-Summary-2024.pdf</t>
  </si>
  <si>
    <t>S093</t>
  </si>
  <si>
    <t>AMD support</t>
  </si>
  <si>
    <t>https://www.linkedin.com/posts/fsid_amd-india-funds-semiconductor-start-up-aagyavision-activity-7345408636430548992-K3S6</t>
  </si>
  <si>
    <t>S094</t>
  </si>
  <si>
    <t>Company / management</t>
  </si>
  <si>
    <t>https://app.dealroom.co/companies/aagyavision</t>
  </si>
  <si>
    <t>S095</t>
  </si>
  <si>
    <t>Products / founders</t>
  </si>
  <si>
    <t>chipspirit.com</t>
  </si>
  <si>
    <t>https://chipspirit.com/</t>
  </si>
  <si>
    <t>S096</t>
  </si>
  <si>
    <t>iDEX co-development</t>
  </si>
  <si>
    <t>https://chipspirit.com/products/?product=1</t>
  </si>
  <si>
    <t>S097</t>
  </si>
  <si>
    <t>Funding count</t>
  </si>
  <si>
    <t>https://www.crunchbase.com/organization/chipspirit</t>
  </si>
  <si>
    <t>S098</t>
  </si>
  <si>
    <t>Government amount</t>
  </si>
  <si>
    <t>sansad.in</t>
  </si>
  <si>
    <t>https://sansad.in/getFile/loksabhaquestions/annex/177/AU2255.pdf?source=pqals</t>
  </si>
  <si>
    <t>S099</t>
  </si>
  <si>
    <t>Founders / count</t>
  </si>
  <si>
    <t>https://www.crunchbase.com/organization/sandlogic-technologies-pvt-ltd</t>
  </si>
  <si>
    <t>S100</t>
  </si>
  <si>
    <t>https://yourstory.com/companies/sandlogic</t>
  </si>
  <si>
    <t>S101</t>
  </si>
  <si>
    <t>Unclosed raise / chip target</t>
  </si>
  <si>
    <t>https://www.livemint.com/companies/start-ups/sandlogic-funding-indian-semiconductor-start-ups-artificial-intelligence-applications/amp-11758283515241.html</t>
  </si>
  <si>
    <t>S102</t>
  </si>
  <si>
    <t>Named collaboration</t>
  </si>
  <si>
    <t>www.bwtech.in</t>
  </si>
  <si>
    <t>https://www.bwtech.in/news/we-partner-with-sandlogic-to-develop-full-stack-edge-ai-hardware-in-india</t>
  </si>
  <si>
    <t>S103</t>
  </si>
  <si>
    <t>Investor / product</t>
  </si>
  <si>
    <t>melaventures.in</t>
  </si>
  <si>
    <t>https://melaventures.in/portfolio-companies/simyog/</t>
  </si>
  <si>
    <t>S104</t>
  </si>
  <si>
    <t>Latest financing</t>
  </si>
  <si>
    <t>https://www.cbinsights.com/company/simyog/financials</t>
  </si>
  <si>
    <t>S105</t>
  </si>
  <si>
    <t>Historical Bosch investment</t>
  </si>
  <si>
    <t>https://economictimes.indiatimes.com/small-biz/startups/newsbuzz/robert-bosch-invests-in-iiscs-simyog-tech/articleshow/67734323.cms</t>
  </si>
  <si>
    <t>S106</t>
  </si>
  <si>
    <t>Count</t>
  </si>
  <si>
    <t>https://www.crunchbase.com/organization/simyog-technology/financial_details</t>
  </si>
  <si>
    <t>S107</t>
  </si>
  <si>
    <t>Profile / funding</t>
  </si>
  <si>
    <t>https://bharatinnovates.in/startups/ananant-systems</t>
  </si>
  <si>
    <t>S108</t>
  </si>
  <si>
    <t>Founder</t>
  </si>
  <si>
    <t>https://www.iitk.ac.in/new/data/Annual-Report-2024-25-English-05-02-26.pdf</t>
  </si>
  <si>
    <t>S109</t>
  </si>
  <si>
    <t>S110</t>
  </si>
  <si>
    <t>vasbeam.com</t>
  </si>
  <si>
    <t>https://vasbeam.com/</t>
  </si>
  <si>
    <t>S111</t>
  </si>
  <si>
    <t>Government award</t>
  </si>
  <si>
    <t>https://vasbeam.com/news/page/2/</t>
  </si>
  <si>
    <t>S112</t>
  </si>
  <si>
    <t>government.economictimes.indiatimes.com</t>
  </si>
  <si>
    <t>https://government.economictimes.indiatimes.com/amp/news/technology/aic-t-hub-announces-successful-startups-in-its-first-semiconductor-cohort/100889243</t>
  </si>
  <si>
    <t>S113</t>
  </si>
  <si>
    <t>Technology</t>
  </si>
  <si>
    <t>opto-ml.com</t>
  </si>
  <si>
    <t>https://opto-ml.com/</t>
  </si>
  <si>
    <t>S114</t>
  </si>
  <si>
    <t>https://opto-ml.com/our-team/</t>
  </si>
  <si>
    <t>S115</t>
  </si>
  <si>
    <t>Funding / tape-out / MoU</t>
  </si>
  <si>
    <t>https://www.moneycontrol.com/news/business/startup/semiconductor-startup-optoml-raises-1-8-million-from-bluehill-vc-and-a99-13840994.html</t>
  </si>
  <si>
    <t>S116</t>
  </si>
  <si>
    <t>Parent boundary</t>
  </si>
  <si>
    <t>https://inc42.com/company/optoml/</t>
  </si>
  <si>
    <t>S117</t>
  </si>
  <si>
    <t>S118</t>
  </si>
  <si>
    <t>Funding / product / founder</t>
  </si>
  <si>
    <t>https://economictimes.indiatimes.com/tech/funding/cimware-raises-2-3-m-in-round-led-by-transition-vc/articleshow/122190613.cms</t>
  </si>
  <si>
    <t>S119</t>
  </si>
  <si>
    <t>https://inc42.com/company/cimware/funding/</t>
  </si>
  <si>
    <t>S120</t>
  </si>
  <si>
    <t>nanojoules.com</t>
  </si>
  <si>
    <t>https://nanojoules.com/</t>
  </si>
  <si>
    <t>S121</t>
  </si>
  <si>
    <t>Founder / repeat venture</t>
  </si>
  <si>
    <t>terminuscircuits.com</t>
  </si>
  <si>
    <t>https://terminuscircuits.com/team.php</t>
  </si>
  <si>
    <t>S122</t>
  </si>
  <si>
    <t>Company / IP</t>
  </si>
  <si>
    <t>https://terminuscircuits.com/</t>
  </si>
  <si>
    <t>S123</t>
  </si>
  <si>
    <t>Founder / product</t>
  </si>
  <si>
    <t>https://terminuscircuits.com/team_member_detail.php?id=9</t>
  </si>
  <si>
    <t>S124</t>
  </si>
  <si>
    <t>quanfluence.com</t>
  </si>
  <si>
    <t>https://quanfluence.com/quantum-technology-startup-quanfluence-nets-2-mn-led-by-pi-ventures/</t>
  </si>
  <si>
    <t>S125</t>
  </si>
  <si>
    <t>Team / product</t>
  </si>
  <si>
    <t>https://quanfluence.com/news/</t>
  </si>
  <si>
    <t>S126</t>
  </si>
  <si>
    <t>Prototype / founder roles</t>
  </si>
  <si>
    <t>https://yourstory.com/2025/11/pune-deep-tech-startup-quanfluence-quantum-computer-techsparks-2025-tech30</t>
  </si>
  <si>
    <t>S127</t>
  </si>
  <si>
    <t>Products</t>
  </si>
  <si>
    <t>trispacetech.com</t>
  </si>
  <si>
    <t>https://trispacetech.com/about-us</t>
  </si>
  <si>
    <t>S128</t>
  </si>
  <si>
    <t>https://www.crunchbase.com/person/n-vijay-anand</t>
  </si>
  <si>
    <t>S129</t>
  </si>
  <si>
    <t>Company / customer stage</t>
  </si>
  <si>
    <t>https://www.linkedin.com/company/linesemi</t>
  </si>
  <si>
    <t>S130</t>
  </si>
  <si>
    <t>Founder-associated statement</t>
  </si>
  <si>
    <t>https://www.linkedin.com/posts/vinayakagrawal_cg-power-to-acquire-radio-frequency-components-activity-7248268893352304641-fkIe</t>
  </si>
  <si>
    <t>S131</t>
  </si>
  <si>
    <t>Company services</t>
  </si>
  <si>
    <t>blueberrysemi.com</t>
  </si>
  <si>
    <t>https://blueberrysemi.com/about</t>
  </si>
  <si>
    <t>S132</t>
  </si>
  <si>
    <t>Funding classification</t>
  </si>
  <si>
    <t>https://inc42.com/company/blueberry-semiconductors/</t>
  </si>
  <si>
    <t>S133</t>
  </si>
  <si>
    <t>Repeat founders</t>
  </si>
  <si>
    <t>https://inc42.com/startups/meet-the-7-semiconductor-startups-powering-indias-technological-prowess/</t>
  </si>
  <si>
    <t>S134</t>
  </si>
  <si>
    <t>signoffsemiconductors.com</t>
  </si>
  <si>
    <t>https://signoffsemiconductors.com/leadership/</t>
  </si>
  <si>
    <t>S135</t>
  </si>
  <si>
    <t>Products / services</t>
  </si>
  <si>
    <t>https://signoffsemiconductors.com/</t>
  </si>
  <si>
    <t>S136</t>
  </si>
  <si>
    <t>https://inc42.com/company/signoff-semiconductors/</t>
  </si>
  <si>
    <t>S137</t>
  </si>
  <si>
    <t>www.signalchip.com</t>
  </si>
  <si>
    <t>https://www.signalchip.com/leadership-team/</t>
  </si>
  <si>
    <t>S138</t>
  </si>
  <si>
    <t>Investor relationship</t>
  </si>
  <si>
    <t>https://www.signalchip.com/mentors/</t>
  </si>
  <si>
    <t>S139</t>
  </si>
  <si>
    <t>Initial chip launch</t>
  </si>
  <si>
    <t>https://www.pib.gov.in/Pressreleaseshare.aspx?PRID=1566475&amp;lang=2&amp;reg=48</t>
  </si>
  <si>
    <t>S140</t>
  </si>
  <si>
    <t>Field deployment</t>
  </si>
  <si>
    <t>www.voiceofindiancomm.com</t>
  </si>
  <si>
    <t>https://www.voiceofindiancomm.com/assets/pdf/Annual-Report-of-VoICE-2022-23.pdf</t>
  </si>
  <si>
    <t>S141</t>
  </si>
  <si>
    <t>ROHM partnership</t>
  </si>
  <si>
    <t>www.rohm.com</t>
  </si>
  <si>
    <t>https://www.rohm.com/news-detail?defaultGroupId=false&amp;news-title=2026-03-03_news_suchi</t>
  </si>
  <si>
    <t>S142</t>
  </si>
  <si>
    <t>Commercial production</t>
  </si>
  <si>
    <t>https://in.linkedin.com/company/suchi-semicon-pvt-ltd</t>
  </si>
  <si>
    <t>S143</t>
  </si>
  <si>
    <t>ISM approval</t>
  </si>
  <si>
    <t>https://www.moneycontrol.com/technology/ism-nod-in-the-bag-suchi-semicon-to-fast-track-surat-osat-japan-s-rohm-leads-client-list-article-13910380.html</t>
  </si>
  <si>
    <t>S144</t>
  </si>
  <si>
    <t>Promoter capital</t>
  </si>
  <si>
    <t>m.economictimes.com</t>
  </si>
  <si>
    <t>https://m.economictimes.com/tech/technology/suchi-semicon-begins-chip-plant-without-centres-incentive-plans-100-million-investment-in-3-years/amp_articleshow/116337305.cms</t>
  </si>
  <si>
    <t>S145</t>
  </si>
  <si>
    <t>Products / Deca</t>
  </si>
  <si>
    <t>www.rrpelectronics.com</t>
  </si>
  <si>
    <t>https://www.rrpelectronics.com/solutions</t>
  </si>
  <si>
    <t>S146</t>
  </si>
  <si>
    <t>Projects / timelines</t>
  </si>
  <si>
    <t>https://www.rrpelectronics.com/projects</t>
  </si>
  <si>
    <t>S147</t>
  </si>
  <si>
    <t>Government ecosystem listing</t>
  </si>
  <si>
    <t>c2s.gov.in</t>
  </si>
  <si>
    <t>https://c2s.gov.in/Post_Silicon.jsp</t>
  </si>
  <si>
    <t>S148</t>
  </si>
  <si>
    <t>ceremorphic.com</t>
  </si>
  <si>
    <t>https://ceremorphic.com/about</t>
  </si>
  <si>
    <t>S149</t>
  </si>
  <si>
    <t>https://ceremorphic.com/news/ceremorphic-exits-stealth-mode-unveils-technology-plans-to-deliver-a-new-architecture-specifically-designed-for-reliable-performance-computing</t>
  </si>
  <si>
    <t>S150</t>
  </si>
  <si>
    <t>https://ceremorphic.com/technology</t>
  </si>
  <si>
    <t>Funding / founders / domicile</t>
  </si>
  <si>
    <t>b2b.economictimes.indiatimes.com</t>
  </si>
  <si>
    <t>https://b2b.economictimes.indiatimes.com/news/entrepreneur/tattvam-ai-secures-17-million-pre-seed-funding-to-revolutionize-ai-driven-semiconductor-chip-design/128777413</t>
  </si>
  <si>
    <t>S152</t>
  </si>
  <si>
    <t>Founder history</t>
  </si>
  <si>
    <t>shaastramag.iitm.ac.in</t>
  </si>
  <si>
    <t>https://shaastramag.iitm.ac.in/special-feature/chips-are</t>
  </si>
  <si>
    <t>S153</t>
  </si>
  <si>
    <t>Company / shipment claims</t>
  </si>
  <si>
    <t>www.aurasemi.com</t>
  </si>
  <si>
    <t>https://www.aurasemi.com/about/company-overview.htm</t>
  </si>
  <si>
    <t>S154</t>
  </si>
  <si>
    <t>https://www.crunchbase.com/organization/aura-6</t>
  </si>
  <si>
    <t>S155</t>
  </si>
  <si>
    <t>Company / project</t>
  </si>
  <si>
    <t>sicsem.com</t>
  </si>
  <si>
    <t>S156</t>
  </si>
  <si>
    <t>Corporate background</t>
  </si>
  <si>
    <t>https://sicsem.com/about.html</t>
  </si>
  <si>
    <t>S157</t>
  </si>
  <si>
    <t>Technology investment</t>
  </si>
  <si>
    <t>https://sicsem.com/assets/pdf/Archean-Investment-in-Clas-SiC.pdf</t>
  </si>
  <si>
    <t>S158</t>
  </si>
  <si>
    <t>www.saankhyalabs.com</t>
  </si>
  <si>
    <t>https://www.saankhyalabs.com/</t>
  </si>
  <si>
    <t>S159</t>
  </si>
  <si>
    <t>Parent</t>
  </si>
  <si>
    <t>www.tejasnetworks.com</t>
  </si>
  <si>
    <t>S160</t>
  </si>
  <si>
    <t>Company / founders / customer claims</t>
  </si>
  <si>
    <t>www.meukron.in</t>
  </si>
  <si>
    <t>https://www.meukron.in/about/</t>
  </si>
  <si>
    <t>S161</t>
  </si>
  <si>
    <t>Product</t>
  </si>
  <si>
    <t>https://www.meukron.in/hyalyte/</t>
  </si>
  <si>
    <t>S162</t>
  </si>
  <si>
    <t>Incubation</t>
  </si>
  <si>
    <t>incubation.cense.iisc.ac.in</t>
  </si>
  <si>
    <t>https://incubation.cense.iisc.ac.in/index.php/incubatees/</t>
  </si>
  <si>
    <t>S163</t>
  </si>
  <si>
    <t>Founder / services</t>
  </si>
  <si>
    <t>www.leadsoc.com</t>
  </si>
  <si>
    <t>https://www.leadsoc.com/aboutus</t>
  </si>
  <si>
    <t>S164</t>
  </si>
  <si>
    <t>Current company</t>
  </si>
  <si>
    <t>https://www.leadsoc.com/about-us/</t>
  </si>
  <si>
    <t>S165</t>
  </si>
  <si>
    <t>Acquisition / company</t>
  </si>
  <si>
    <t>www.questglobal.com</t>
  </si>
  <si>
    <t>https://www.questglobal.com/news/press-releases/quest-global-acquires-bitsilica-to-strengthen-semiconductor-portfolio/</t>
  </si>
  <si>
    <t>S166</t>
  </si>
  <si>
    <t>Founding group</t>
  </si>
  <si>
    <t>https://www.thecompanycheck.com/company/b/bitsilica/b5eyhre6n2buxsgyo</t>
  </si>
  <si>
    <t>S167</t>
  </si>
  <si>
    <t>www.indiesemic.com</t>
  </si>
  <si>
    <t>https://www.indiesemic.com/news-and-events</t>
  </si>
  <si>
    <t>S168</t>
  </si>
  <si>
    <t>Product datasheet</t>
  </si>
  <si>
    <t>https://www.indiesemic.com/ISC%20Modules%20for%20website/3.%20ISC-nRF-52832-A/ISC_nRF52832_A_Datasheet.pdf</t>
  </si>
  <si>
    <t>S169</t>
  </si>
  <si>
    <t>https://www.thecompanycheck.com/company/b/indiesemic/601ed29a8a2e4bf1b</t>
  </si>
  <si>
    <t>S170</t>
  </si>
  <si>
    <t>Founder / commercial approach</t>
  </si>
  <si>
    <t>prodwrks.com</t>
  </si>
  <si>
    <t>https://prodwrks.com/what-does-it-take-to-build-a-semiconductor-company-in-india-the-journey-of-indiesemic-and-its-founder-nikul-shah/</t>
  </si>
  <si>
    <t>S171</t>
  </si>
  <si>
    <t>Government support</t>
  </si>
  <si>
    <t>dst.gov.in</t>
  </si>
  <si>
    <t>https://dst.gov.in/sites/default/files/DST%20AR%20%202025-26%20ENG_Web.pdf</t>
  </si>
  <si>
    <t>S172</t>
  </si>
  <si>
    <t>DLI project</t>
  </si>
  <si>
    <t>Discovery lead</t>
  </si>
  <si>
    <t>www.eetimes.com</t>
  </si>
  <si>
    <t>https://www.eetimes.com/semicon-india-2026-startup-mitra-sheds-light-on-early-stage-silicon-startup-funding/</t>
  </si>
  <si>
    <t>Method, evidence rules and remaining gaps</t>
  </si>
  <si>
    <t>Read the company-level completeness notes before comparing totals or treating a company as investable.</t>
  </si>
  <si>
    <t>Topic</t>
  </si>
  <si>
    <t>Definition / treatment</t>
  </si>
  <si>
    <t>Coverage</t>
  </si>
  <si>
    <t>120 entries, including 54 company-specific research profiles. The April 2026 official roster contributes all 103 EDA beneficiaries; remaining rows include detailed additional ventures, one DLI-listed incumbent and event leads. The universe is broad but cannot be certified as all operating Indian semiconductor startups.</t>
  </si>
  <si>
    <t>Research depth</t>
  </si>
  <si>
    <t>Company-specific profiles use multiple public sources where available. Roster-only entries have not been independently researched field by field; their unknown fields are deliberately unfilled and their matrices disclose gaps. They are discovery leads, not completed diligence.</t>
  </si>
  <si>
    <t>Scope</t>
  </si>
  <si>
    <t>Core focus is India-based/private semiconductor product, IP, design-tool, service, materials, equipment and packaging companies. Foreign-headquartered India-linked companies, mature firms, listed incumbents and acquired companies are retained with explicit boundaries. No DPIIT eligibility certification is implied.</t>
  </si>
  <si>
    <t>Date convention</t>
  </si>
  <si>
    <t>Research cutoff is 1 October 2026. The official EDA/DLI company list is dated 1 April 2026, not claimed current to October. Milestone target dates are not converted to completed events simply because time has passed.</t>
  </si>
  <si>
    <t>Database access</t>
  </si>
  <si>
    <t>Public Inc42 DataLabs, Crunchbase, CB Insights, Dealroom, Caplight and indexed Tracxn material were used where accessible. No authenticated PitchBook/Tracxn/Crunchbase paid export or private cap table was obtained. Search snippets are cross-checked against primary sources when possible.</t>
  </si>
  <si>
    <t>Funding totals</t>
  </si>
  <si>
    <t>Funding is not revenue, valuation, project cost or subsidy. Known event sums and database totals are explicitly distinguished. No sector-total funding number is calculated because disclosure coverage and instruments differ.</t>
  </si>
  <si>
    <t>Round counting</t>
  </si>
  <si>
    <t>A funding event/closing is not always a new financing round. C2i Series A and Maieutic seed extensions are included only incrementally. Agnit includes a historical angel event missing from some current databases.</t>
  </si>
  <si>
    <t>Conflicting values / averaging</t>
  </si>
  <si>
    <t>Do not average numbers from different dates, currency conversions, instruments or coverage scopes. That would create an unsupported total. Prefer original announcement/primary evidence, show material alternatives and retain a reconciliation note. Same-round rounding differences may be represented by the primary rounded figure.</t>
  </si>
  <si>
    <t>Currency</t>
  </si>
  <si>
    <t>Use USD Mn when a defensible source value exists. Original INR crore/lakh is retained for India-only funding and government project outlays. No invented FX rate is applied. One crore is 10 million rupees; one lakh is 100,000 rupees.</t>
  </si>
  <si>
    <t>Numeric blanks</t>
  </si>
  <si>
    <t>A blank funding/round cell means not verified or not disclosed, never zero or no funding. Text explains completeness. Where only a month/year is known, the date is stored at that precision and must not be interpreted as an exact day.</t>
  </si>
  <si>
    <t>Government answer describes up to 50% of eligible design expenditure, capped at INR 15 crore per application, and sales-linked incentive of 6% to 4% over five years, capped at INR 30 crore. Eligibility, milestones and sanction conditions apply. These caps are not amounts received by every company. Source S001.</t>
  </si>
  <si>
    <t>Government classification</t>
  </si>
  <si>
    <t>EDA access is in-kind infrastructure support. Incubation/awards are distinct from cash grants. Government-backed fund equity is investment, not subsidy. A TDB soft loan is not equity or a grant. Project outlay is not sanctioned assistance or disbursed cash.</t>
  </si>
  <si>
    <t>Readiness ladder</t>
  </si>
  <si>
    <t>Design concept → simulation/FPGA prototype → tape-out → returned working silicon → customer qualification → production release → repeat paid shipments. A software or services company should instead be assessed on deployed workflows and paying customers.</t>
  </si>
  <si>
    <t>Customer evidence</t>
  </si>
  <si>
    <t>Named paid deployments and repeat orders are strongest. Trials, development contracts, MoUs, distributor listings and investor relationships are weaker evidence and labelled accordingly. Founder experience supplying an OEM at a previous employer is not a startup customer win.</t>
  </si>
  <si>
    <t>Buyer conviction</t>
  </si>
  <si>
    <t>Commercial conviction is an analyst judgment grounded in the stated evidence. It is not a probability of success. None of the shortlist is presented as investable at any valuation or as already offering an allocation.</t>
  </si>
  <si>
    <t>Business-model matrix</t>
  </si>
  <si>
    <t>Nine rows per company reproduce the requested canvas components. Channels, relationships, revenues and costs are reasoned business-model hypotheses unless explicitly reported. They are not representations of contracts, audited revenue or company cost accounts.</t>
  </si>
  <si>
    <t>India capture</t>
  </si>
  <si>
    <t>IP/software/services capture design value with lower physical capex. Fabless products capture product margins but carry qualification, inventory and foundry risk. Materials/equipment can provide differentiated manufacturing inputs. Foundries/OSATs require compatible process, package and committed utilisation.</t>
  </si>
  <si>
    <t>Before committing capital</t>
  </si>
  <si>
    <t>Request current cap table and financing documents; founder/IP assignment records; incentive sanction and disbursement documents; tape-out receipts and silicon test reports; customer references, paid invoices and backlog; wafer/package quotes; gross-margin and runway model; qualification and export-control plan.</t>
  </si>
  <si>
    <t>Source limitations</t>
  </si>
  <si>
    <t>Company statements can be promotional and contracts are often private. Public partner lists do not establish exclusivity. Profile data can be stale or misidentify legal entities. Unverified facts are left unresolved rather than inferred from logos or database paid-up share capital.</t>
  </si>
  <si>
    <t>Exhaustiveness limit</t>
  </si>
  <si>
    <t>The government roster includes companies outside an independent startup definition and excludes private ventures not using the scheme. There is no single authoritative public census containing founders, funding, subsidies, readiness and customers for every Indian semiconductor startup.</t>
  </si>
  <si>
    <t>Servers, data centres &amp; storage</t>
  </si>
  <si>
    <t>Smartphones</t>
  </si>
  <si>
    <t>Industrial electronics</t>
  </si>
  <si>
    <t>Automotive</t>
  </si>
  <si>
    <t>Personal computing</t>
  </si>
  <si>
    <t>Consumer electronics</t>
  </si>
  <si>
    <t>Wired &amp; wireless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</si>
</sst>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font>
      <sz val="11"/>
      <name val="Carlito"/>
    </font>
    <font>
      <sz val="10"/>
      <color rgb="FF233548"/>
      <name val="Arial"/>
      <family val="2"/>
    </font>
    <font>
      <b/>
      <sz val="14"/>
      <color rgb="FF153653"/>
      <name val="Arial"/>
      <family val="2"/>
    </font>
    <font>
      <i/>
      <sz val="10"/>
      <color rgb="FF526779"/>
      <name val="Arial"/>
      <family val="2"/>
    </font>
    <font>
      <b/>
      <sz val="10"/>
      <color rgb="FFFFFFFF"/>
      <name val="Arial"/>
      <family val="2"/>
    </font>
    <font>
      <b/>
      <sz val="11"/>
      <name val="Carlito"/>
    </font>
    <font>
      <b/>
      <sz val="15"/>
      <color rgb="FF1F1F1F"/>
      <name val="Aptos"/>
      <family val="2"/>
    </font>
    <font>
      <sz val="15"/>
      <color rgb="FF1F1F1F"/>
      <name val="Aptos"/>
      <family val="2"/>
    </font>
  </fonts>
  <fills count="4">
    <fill>
      <patternFill patternType="none"/>
    </fill>
    <fill>
      <patternFill patternType="gray125"/>
    </fill>
    <fill>
      <patternFill patternType="solid">
        <fgColor rgb="FF153653"/>
      </patternFill>
    </fill>
    <fill>
      <patternFill patternType="solid">
        <fgColor rgb="FFEDF4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vertical="top" wrapText="1"/>
    </xf>
    <xf numFmtId="0" fontId="4" fillId="2" borderId="0" xfId="0" applyFont="1" applyFill="1" applyAlignment="1">
      <alignment horizontal="center" vertical="center" wrapText="1"/>
    </xf>
    <xf numFmtId="0" fontId="1" fillId="3" borderId="0" xfId="0" applyFont="1" applyFill="1" applyAlignment="1">
      <alignment vertical="top" wrapText="1"/>
    </xf>
    <xf numFmtId="0" fontId="5" fillId="0" borderId="0" xfId="0" applyFont="1"/>
    <xf numFmtId="0" fontId="0" fillId="0" borderId="0" xfId="0" applyAlignment="1">
      <alignment wrapText="1"/>
    </xf>
    <xf numFmtId="2" fontId="1" fillId="0" borderId="0" xfId="0" applyNumberFormat="1" applyFont="1"/>
    <xf numFmtId="0" fontId="4" fillId="2" borderId="0" xfId="0" applyFont="1" applyFill="1" applyAlignment="1">
      <alignment wrapText="1"/>
    </xf>
    <xf numFmtId="2" fontId="1" fillId="0" borderId="0" xfId="0" applyNumberFormat="1" applyFont="1" applyAlignment="1">
      <alignment vertical="top" wrapText="1"/>
    </xf>
    <xf numFmtId="2" fontId="1" fillId="3" borderId="0" xfId="0" applyNumberFormat="1" applyFont="1" applyFill="1" applyAlignment="1">
      <alignment vertical="top" wrapText="1"/>
    </xf>
    <xf numFmtId="1" fontId="1" fillId="0" borderId="0" xfId="0" applyNumberFormat="1" applyFont="1" applyAlignment="1">
      <alignment vertical="top" wrapText="1"/>
    </xf>
    <xf numFmtId="1" fontId="1" fillId="3" borderId="0" xfId="0" applyNumberFormat="1" applyFont="1" applyFill="1" applyAlignment="1">
      <alignment vertical="top" wrapText="1"/>
    </xf>
    <xf numFmtId="4" fontId="1" fillId="0" borderId="0" xfId="0" applyNumberFormat="1" applyFont="1" applyAlignment="1">
      <alignment vertical="top" wrapText="1"/>
    </xf>
    <xf numFmtId="4" fontId="1" fillId="3" borderId="0" xfId="0" applyNumberFormat="1" applyFont="1" applyFill="1" applyAlignment="1">
      <alignment vertical="top" wrapText="1"/>
    </xf>
    <xf numFmtId="164" fontId="1" fillId="3" borderId="0" xfId="0" applyNumberFormat="1" applyFont="1" applyFill="1" applyAlignment="1">
      <alignment vertical="top" wrapText="1"/>
    </xf>
    <xf numFmtId="164" fontId="1" fillId="0" borderId="0" xfId="0" applyNumberFormat="1" applyFont="1" applyAlignment="1">
      <alignment vertical="top" wrapText="1"/>
    </xf>
    <xf numFmtId="0" fontId="6" fillId="0" borderId="1" xfId="0" applyFont="1" applyBorder="1" applyAlignment="1">
      <alignment horizontal="left" vertical="center" wrapText="1" readingOrder="1"/>
    </xf>
    <xf numFmtId="0" fontId="7" fillId="0" borderId="1" xfId="0" applyFont="1" applyBorder="1" applyAlignment="1">
      <alignment horizontal="left" vertical="center" wrapText="1" readingOrder="1"/>
    </xf>
    <xf numFmtId="10" fontId="7" fillId="0" borderId="1" xfId="0" applyNumberFormat="1" applyFont="1" applyBorder="1" applyAlignment="1">
      <alignment horizontal="left" vertical="center" wrapText="1" readingOrder="1"/>
    </xf>
  </cellXfs>
  <cellStyles count="1">
    <cellStyle name="Normal" xfId="0" builtinId="0"/>
  </cellStyles>
  <dxfs count="9">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sz="975">
                <a:latin typeface="Arial"/>
                <a:ea typeface="Arial"/>
                <a:cs typeface="Arial"/>
              </a:rPr>
              <a:t>Shortlist disclosed funding (USD Mn)</a:t>
            </a:r>
          </a:p>
        </c:rich>
      </c:tx>
      <c:overlay val="0"/>
    </c:title>
    <c:autoTitleDeleted val="0"/>
    <c:plotArea>
      <c:layout/>
      <c:barChart>
        <c:barDir val="col"/>
        <c:grouping val="clustered"/>
        <c:varyColors val="0"/>
        <c:ser>
          <c:idx val="0"/>
          <c:order val="0"/>
          <c:tx>
            <c:v>Disclosed funding (USD Mn)</c:v>
          </c:tx>
          <c:spPr>
            <a:solidFill>
              <a:srgbClr val="225E88"/>
            </a:solidFill>
          </c:spPr>
          <c:invertIfNegative val="1"/>
          <c:cat>
            <c:strRef>
              <c:f>'VC shortlist'!$I$6:$I$10</c:f>
              <c:strCache>
                <c:ptCount val="5"/>
                <c:pt idx="0">
                  <c:v>Vervesemi Microelectronics</c:v>
                </c:pt>
                <c:pt idx="1">
                  <c:v>InCore Semiconductors</c:v>
                </c:pt>
                <c:pt idx="2">
                  <c:v>FermionIC Design</c:v>
                </c:pt>
                <c:pt idx="3">
                  <c:v>Mindgrove Technologies</c:v>
                </c:pt>
                <c:pt idx="4">
                  <c:v>Maieutic Semiconductors</c:v>
                </c:pt>
              </c:strCache>
            </c:strRef>
          </c:cat>
          <c:val>
            <c:numRef>
              <c:f>'VC shortlist'!$J$6:$J$10</c:f>
              <c:numCache>
                <c:formatCode>0.00</c:formatCode>
                <c:ptCount val="5"/>
                <c:pt idx="0">
                  <c:v>10</c:v>
                </c:pt>
                <c:pt idx="1">
                  <c:v>3</c:v>
                </c:pt>
                <c:pt idx="2">
                  <c:v>6</c:v>
                </c:pt>
                <c:pt idx="3">
                  <c:v>10.32</c:v>
                </c:pt>
                <c:pt idx="4">
                  <c:v>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B5DE-4153-BA2F-D3A39B46EE3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11</xdr:row>
      <xdr:rowOff>0</xdr:rowOff>
    </xdr:from>
    <xdr:to>
      <xdr:col>16</xdr:col>
      <xdr:colOff>0</xdr:colOff>
      <xdr:row>28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VCshortlist" displayName="TVCshortlist" ref="A5:G10" totalsRowShown="0">
  <autoFilter ref="A5:G10" xr:uid="{00000000-0009-0000-0100-000001000000}"/>
  <tableColumns count="7">
    <tableColumn id="1" xr3:uid="{00000000-0010-0000-0000-000001000000}" name="Company"/>
    <tableColumn id="2" xr3:uid="{00000000-0010-0000-0000-000002000000}" name="Investment stance"/>
    <tableColumn id="3" xr3:uid="{00000000-0010-0000-0000-000003000000}" name="Why it merits diligence"/>
    <tableColumn id="4" xr3:uid="{00000000-0010-0000-0000-000004000000}" name="Buyer evidence"/>
    <tableColumn id="5" xr3:uid="{00000000-0010-0000-0000-000005000000}" name="Conditions before investment"/>
    <tableColumn id="6" xr3:uid="{00000000-0010-0000-0000-000006000000}" name="Stage / financing approach"/>
    <tableColumn id="7" xr3:uid="{00000000-0010-0000-0000-000007000000}" name="Exit route and constrai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Companyuniverse" displayName="TCompanyuniverse" ref="A5:H125" totalsRowShown="0" dataDxfId="0">
  <autoFilter ref="A5:H125" xr:uid="{00000000-0009-0000-0100-000002000000}"/>
  <tableColumns count="8">
    <tableColumn id="1" xr3:uid="{00000000-0010-0000-0100-000001000000}" name="ID" dataDxfId="8"/>
    <tableColumn id="2" xr3:uid="{00000000-0010-0000-0100-000002000000}" name="Company" dataDxfId="7"/>
    <tableColumn id="3" xr3:uid="{00000000-0010-0000-0100-000003000000}" name="Product / service category" dataDxfId="6"/>
    <tableColumn id="4" xr3:uid="{00000000-0010-0000-0100-000004000000}" name="Ownership / eligibility boundary" dataDxfId="5"/>
    <tableColumn id="5" xr3:uid="{00000000-0010-0000-0100-000005000000}" name="State / India link" dataDxfId="4"/>
    <tableColumn id="6" xr3:uid="{00000000-0010-0000-0100-000006000000}" name="Research coverage" dataDxfId="3"/>
    <tableColumn id="7" xr3:uid="{00000000-0010-0000-0100-000007000000}" name="Official EDA roster no." dataDxfId="2"/>
    <tableColumn id="8" xr3:uid="{00000000-0010-0000-0100-000008000000}" name="Source IDs"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Funding" displayName="TFunding" ref="A5:I125" totalsRowShown="0">
  <autoFilter ref="A5:I125" xr:uid="{00000000-0009-0000-0100-000003000000}"/>
  <tableColumns count="9">
    <tableColumn id="1" xr3:uid="{00000000-0010-0000-0200-000001000000}" name="ID"/>
    <tableColumn id="2" xr3:uid="{00000000-0010-0000-0200-000002000000}" name="Company"/>
    <tableColumn id="3" xr3:uid="{00000000-0010-0000-0200-000003000000}" name="Reported / reconstructed total (USD Mn)"/>
    <tableColumn id="4" xr3:uid="{00000000-0010-0000-0200-000004000000}" name="Disclosed rounds / events"/>
    <tableColumn id="5" xr3:uid="{00000000-0010-0000-0200-000005000000}" name="Last financing date"/>
    <tableColumn id="6" xr3:uid="{00000000-0010-0000-0200-000006000000}" name="Date precision"/>
    <tableColumn id="7" xr3:uid="{00000000-0010-0000-0200-000007000000}" name="Investors / financing source"/>
    <tableColumn id="8" xr3:uid="{00000000-0010-0000-0200-000008000000}" name="Basis, discrepancy and completeness"/>
    <tableColumn id="9" xr3:uid="{00000000-0010-0000-0200-000009000000}" name="Source ID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Fundingevents" displayName="TFundingevents" ref="A5:H37" totalsRowShown="0">
  <autoFilter ref="A5:H37" xr:uid="{00000000-0009-0000-0100-000004000000}"/>
  <tableColumns count="8">
    <tableColumn id="1" xr3:uid="{00000000-0010-0000-0300-000001000000}" name="Company"/>
    <tableColumn id="2" xr3:uid="{00000000-0010-0000-0300-000002000000}" name="Round / event"/>
    <tableColumn id="3" xr3:uid="{00000000-0010-0000-0300-000003000000}" name="Announcement / closing date"/>
    <tableColumn id="4" xr3:uid="{00000000-0010-0000-0300-000004000000}" name="Incremental USD Mn"/>
    <tableColumn id="5" xr3:uid="{00000000-0010-0000-0300-000005000000}" name="Original INR crore"/>
    <tableColumn id="6" xr3:uid="{00000000-0010-0000-0300-000006000000}" name="Instrument / classification"/>
    <tableColumn id="7" xr3:uid="{00000000-0010-0000-0300-000007000000}" name="Reconciliation note"/>
    <tableColumn id="8" xr3:uid="{00000000-0010-0000-0300-000008000000}" name="Source ID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Founders" displayName="TFounders" ref="A5:F125" totalsRowShown="0">
  <autoFilter ref="A5:F125" xr:uid="{00000000-0009-0000-0100-000005000000}"/>
  <tableColumns count="6">
    <tableColumn id="1" xr3:uid="{00000000-0010-0000-0400-000001000000}" name="ID"/>
    <tableColumn id="2" xr3:uid="{00000000-0010-0000-0400-000002000000}" name="Company"/>
    <tableColumn id="3" xr3:uid="{00000000-0010-0000-0400-000003000000}" name="Founders / role qualification"/>
    <tableColumn id="4" xr3:uid="{00000000-0010-0000-0400-000004000000}" name="Relevant background"/>
    <tableColumn id="5" xr3:uid="{00000000-0010-0000-0400-000005000000}" name="Repeat founder / professor / employer flags"/>
    <tableColumn id="6" xr3:uid="{00000000-0010-0000-0400-000006000000}" name="Source ID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Productsandreadiness" displayName="TProductsandreadiness" ref="A5:G125" totalsRowShown="0">
  <autoFilter ref="A5:G125" xr:uid="{00000000-0009-0000-0100-000006000000}"/>
  <tableColumns count="7">
    <tableColumn id="1" xr3:uid="{00000000-0010-0000-0500-000001000000}" name="ID"/>
    <tableColumn id="2" xr3:uid="{00000000-0010-0000-0500-000002000000}" name="Company"/>
    <tableColumn id="3" xr3:uid="{00000000-0010-0000-0500-000003000000}" name="Product / service detail"/>
    <tableColumn id="4" xr3:uid="{00000000-0010-0000-0500-000004000000}" name="Application in the Indian economy"/>
    <tableColumn id="5" xr3:uid="{00000000-0010-0000-0500-000005000000}" name="Latest evidenced readiness"/>
    <tableColumn id="6" xr3:uid="{00000000-0010-0000-0500-000006000000}" name="Readiness category"/>
    <tableColumn id="7" xr3:uid="{00000000-0010-0000-0500-000007000000}" name="Source ID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Customersandalliances" displayName="TCustomersandalliances" ref="A5:I125" totalsRowShown="0">
  <autoFilter ref="A5:I125" xr:uid="{00000000-0009-0000-0100-000007000000}"/>
  <tableColumns count="9">
    <tableColumn id="1" xr3:uid="{00000000-0010-0000-0600-000001000000}" name="ID"/>
    <tableColumn id="2" xr3:uid="{00000000-0010-0000-0600-000002000000}" name="Company"/>
    <tableColumn id="3" xr3:uid="{00000000-0010-0000-0600-000003000000}" name="Target customer segment"/>
    <tableColumn id="4" xr3:uid="{00000000-0010-0000-0600-000004000000}" name="Named customers / evidence limits"/>
    <tableColumn id="5" xr3:uid="{00000000-0010-0000-0600-000005000000}" name="Commercial conviction / next test"/>
    <tableColumn id="6" xr3:uid="{00000000-0010-0000-0600-000006000000}" name="Strategic alliances and their limits"/>
    <tableColumn id="7" xr3:uid="{00000000-0010-0000-0600-000007000000}" name="Potential large / listed Indian beneficiaries (inference)"/>
    <tableColumn id="8" xr3:uid="{00000000-0010-0000-0600-000008000000}" name="Indian fab / OSAT / compound-fab fit (inference)"/>
    <tableColumn id="9" xr3:uid="{00000000-0010-0000-0600-000009000000}" name="Source ID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Governmentsupport" displayName="TGovernmentsupport" ref="A5:G125" totalsRowShown="0">
  <autoFilter ref="A5:G125" xr:uid="{00000000-0009-0000-0100-000008000000}"/>
  <tableColumns count="7">
    <tableColumn id="1" xr3:uid="{00000000-0010-0000-0700-000001000000}" name="ID"/>
    <tableColumn id="2" xr3:uid="{00000000-0010-0000-0700-000002000000}" name="Company"/>
    <tableColumn id="3" xr3:uid="{00000000-0010-0000-0700-000003000000}" name="DLI financial project count"/>
    <tableColumn id="4" xr3:uid="{00000000-0010-0000-0700-000004000000}" name="EDA tools approved"/>
    <tableColumn id="5" xr3:uid="{00000000-0010-0000-0700-000005000000}" name="Company-specific support and limits"/>
    <tableColumn id="6" xr3:uid="{00000000-0010-0000-0700-000006000000}" name="Cash receipt / disbursement status"/>
    <tableColumn id="7" xr3:uid="{00000000-0010-0000-0700-000007000000}" name="Source ID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DLIprojects" displayName="TDLIprojects" ref="A5:D29" totalsRowShown="0">
  <autoFilter ref="A5:D29" xr:uid="{00000000-0009-0000-0100-000009000000}"/>
  <tableColumns count="4">
    <tableColumn id="1" xr3:uid="{00000000-0010-0000-0800-000001000000}" name="Company"/>
    <tableColumn id="2" xr3:uid="{00000000-0010-0000-0800-000002000000}" name="Approved project description"/>
    <tableColumn id="3" xr3:uid="{00000000-0010-0000-0800-000003000000}" name="Project outlay (INR lakh)"/>
    <tableColumn id="4" xr3:uid="{00000000-0010-0000-0800-000004000000}" name="Source ID"/>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usinessmodelmatrix" displayName="TBusinessmodelmatrix" ref="A5:F1085" totalsRowShown="0">
  <autoFilter ref="A5:F1085" xr:uid="{00000000-0009-0000-0100-00000A000000}"/>
  <tableColumns count="6">
    <tableColumn id="1" xr3:uid="{00000000-0010-0000-0900-000001000000}" name="ID"/>
    <tableColumn id="2" xr3:uid="{00000000-0010-0000-0900-000002000000}" name="Company"/>
    <tableColumn id="3" xr3:uid="{00000000-0010-0000-0900-000003000000}" name="Matrix component"/>
    <tableColumn id="4" xr3:uid="{00000000-0010-0000-0900-000004000000}" name="Company-specific business-model assessment"/>
    <tableColumn id="5" xr3:uid="{00000000-0010-0000-0900-000005000000}" name="Evidence status"/>
    <tableColumn id="6" xr3:uid="{00000000-0010-0000-0900-000006000000}" name="Supporting source ID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Indianbeneficiarymap" displayName="TIndianbeneficiarymap" ref="A5:G17" totalsRowShown="0">
  <autoFilter ref="A5:G17" xr:uid="{00000000-0009-0000-0100-00000B000000}"/>
  <tableColumns count="7">
    <tableColumn id="1" xr3:uid="{00000000-0010-0000-0A00-000001000000}" name="Company / group"/>
    <tableColumn id="2" xr3:uid="{00000000-0010-0000-0A00-000002000000}" name="Listing / ownership"/>
    <tableColumn id="3" xr3:uid="{00000000-0010-0000-0A00-000003000000}" name="Position in value chain"/>
    <tableColumn id="4" xr3:uid="{00000000-0010-0000-0A00-000004000000}" name="Potential benefit"/>
    <tableColumn id="5" xr3:uid="{00000000-0010-0000-0A00-000005000000}" name="Relevant startup examples"/>
    <tableColumn id="6" xr3:uid="{00000000-0010-0000-0A00-000006000000}" name="Important boundary"/>
    <tableColumn id="7" xr3:uid="{00000000-0010-0000-0A00-000007000000}" name="Source / referenc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Sources" displayName="TSources" ref="A5:E179" totalsRowShown="0">
  <autoFilter ref="A5:E179" xr:uid="{00000000-0009-0000-0100-00000C000000}"/>
  <tableColumns count="5">
    <tableColumn id="1" xr3:uid="{00000000-0010-0000-0B00-000001000000}" name="Source ID"/>
    <tableColumn id="2" xr3:uid="{00000000-0010-0000-0B00-000002000000}" name="Company / scope"/>
    <tableColumn id="3" xr3:uid="{00000000-0010-0000-0B00-000003000000}" name="Claims supported"/>
    <tableColumn id="4" xr3:uid="{00000000-0010-0000-0B00-000004000000}" name="Publisher / document"/>
    <tableColumn id="5" xr3:uid="{00000000-0010-0000-0B00-000005000000}" name="URL"/>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Methodanddefinitions" displayName="TMethodanddefinitions" ref="A5:B25" totalsRowShown="0">
  <autoFilter ref="A5:B25" xr:uid="{00000000-0009-0000-0100-00000D000000}"/>
  <tableColumns count="2">
    <tableColumn id="1" xr3:uid="{00000000-0010-0000-0C00-000001000000}" name="Topic"/>
    <tableColumn id="2" xr3:uid="{00000000-0010-0000-0C00-000002000000}" name="Definition / treat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53653"/>
  </sheetPr>
  <dimension ref="A1:J81"/>
  <sheetViews>
    <sheetView showGridLines="0" zoomScale="70" zoomScaleNormal="70" workbookViewId="0">
      <pane xSplit="2" ySplit="5" topLeftCell="C62" activePane="bottomRight" state="frozen"/>
      <selection pane="topRight"/>
      <selection pane="bottomLeft"/>
      <selection pane="bottomRight" activeCell="B74" sqref="B74"/>
    </sheetView>
  </sheetViews>
  <sheetFormatPr defaultRowHeight="14"/>
  <cols>
    <col min="1" max="2" width="29" customWidth="1"/>
    <col min="3" max="3" width="58" customWidth="1"/>
    <col min="4" max="4" width="55" customWidth="1"/>
    <col min="5" max="5" width="63" customWidth="1"/>
    <col min="6" max="6" width="52" customWidth="1"/>
    <col min="7" max="7" width="53" customWidth="1"/>
    <col min="9" max="9" width="31" customWidth="1"/>
    <col min="10" max="10" width="24" customWidth="1"/>
  </cols>
  <sheetData>
    <row r="1" spans="1:10">
      <c r="A1" s="1"/>
      <c r="B1" s="1"/>
      <c r="C1" s="1"/>
      <c r="D1" s="1"/>
      <c r="E1" s="1"/>
      <c r="F1" s="1"/>
      <c r="G1" s="1"/>
    </row>
    <row r="2" spans="1:10" ht="18">
      <c r="A2" s="2" t="s">
        <v>0</v>
      </c>
      <c r="B2" s="1"/>
      <c r="C2" s="1"/>
      <c r="D2" s="1"/>
      <c r="E2" s="1"/>
      <c r="F2" s="1"/>
      <c r="G2" s="1"/>
    </row>
    <row r="3" spans="1:10" ht="26" customHeight="1">
      <c r="A3" s="3" t="s">
        <v>1</v>
      </c>
      <c r="B3" s="1"/>
      <c r="C3" s="1"/>
      <c r="D3" s="1"/>
      <c r="E3" s="1"/>
      <c r="F3" s="1"/>
      <c r="G3" s="1"/>
    </row>
    <row r="4" spans="1:10">
      <c r="A4" s="1"/>
      <c r="B4" s="1"/>
      <c r="C4" s="1"/>
      <c r="D4" s="1"/>
      <c r="E4" s="1"/>
      <c r="F4" s="1"/>
      <c r="G4" s="1"/>
    </row>
    <row r="5" spans="1:10" ht="34" customHeight="1">
      <c r="A5" s="5" t="s">
        <v>2</v>
      </c>
      <c r="B5" s="5" t="s">
        <v>3</v>
      </c>
      <c r="C5" s="5" t="s">
        <v>4</v>
      </c>
      <c r="D5" s="5" t="s">
        <v>5</v>
      </c>
      <c r="E5" s="5" t="s">
        <v>6</v>
      </c>
      <c r="F5" s="5" t="s">
        <v>7</v>
      </c>
      <c r="G5" s="5" t="s">
        <v>8</v>
      </c>
      <c r="I5" s="10" t="s">
        <v>9</v>
      </c>
      <c r="J5" s="10" t="s">
        <v>10</v>
      </c>
    </row>
    <row r="6" spans="1:10" ht="51" customHeight="1">
      <c r="A6" s="4" t="s">
        <v>11</v>
      </c>
      <c r="B6" s="4" t="s">
        <v>12</v>
      </c>
      <c r="C6" s="4" t="s">
        <v>13</v>
      </c>
      <c r="D6" s="4" t="s">
        <v>14</v>
      </c>
      <c r="E6" s="4" t="s">
        <v>15</v>
      </c>
      <c r="F6" s="4" t="s">
        <v>16</v>
      </c>
      <c r="G6" s="4" t="s">
        <v>17</v>
      </c>
      <c r="I6" s="1" t="s">
        <v>11</v>
      </c>
      <c r="J6" s="9">
        <f>Funding!C7</f>
        <v>10</v>
      </c>
    </row>
    <row r="7" spans="1:10" ht="51" customHeight="1">
      <c r="A7" s="6" t="s">
        <v>18</v>
      </c>
      <c r="B7" s="6" t="s">
        <v>19</v>
      </c>
      <c r="C7" s="6" t="s">
        <v>20</v>
      </c>
      <c r="D7" s="6" t="s">
        <v>21</v>
      </c>
      <c r="E7" s="6" t="s">
        <v>22</v>
      </c>
      <c r="F7" s="6" t="s">
        <v>23</v>
      </c>
      <c r="G7" s="6" t="s">
        <v>24</v>
      </c>
      <c r="I7" s="1" t="s">
        <v>18</v>
      </c>
      <c r="J7" s="9">
        <f>Funding!C9</f>
        <v>3</v>
      </c>
    </row>
    <row r="8" spans="1:10" ht="38" customHeight="1">
      <c r="A8" s="4" t="s">
        <v>25</v>
      </c>
      <c r="B8" s="4" t="s">
        <v>26</v>
      </c>
      <c r="C8" s="4" t="s">
        <v>27</v>
      </c>
      <c r="D8" s="4" t="s">
        <v>28</v>
      </c>
      <c r="E8" s="4" t="s">
        <v>29</v>
      </c>
      <c r="F8" s="4" t="s">
        <v>30</v>
      </c>
      <c r="G8" s="4" t="s">
        <v>31</v>
      </c>
      <c r="I8" s="1" t="s">
        <v>25</v>
      </c>
      <c r="J8" s="9">
        <f>Funding!C8</f>
        <v>6</v>
      </c>
    </row>
    <row r="9" spans="1:10" ht="51" customHeight="1">
      <c r="A9" s="6" t="s">
        <v>32</v>
      </c>
      <c r="B9" s="6" t="s">
        <v>33</v>
      </c>
      <c r="C9" s="6" t="s">
        <v>34</v>
      </c>
      <c r="D9" s="6" t="s">
        <v>35</v>
      </c>
      <c r="E9" s="6" t="s">
        <v>36</v>
      </c>
      <c r="F9" s="6" t="s">
        <v>37</v>
      </c>
      <c r="G9" s="6" t="s">
        <v>38</v>
      </c>
      <c r="I9" s="1" t="s">
        <v>32</v>
      </c>
      <c r="J9" s="9">
        <f>Funding!C6</f>
        <v>10.32</v>
      </c>
    </row>
    <row r="10" spans="1:10" ht="51" customHeight="1">
      <c r="A10" s="4" t="s">
        <v>39</v>
      </c>
      <c r="B10" s="4" t="s">
        <v>40</v>
      </c>
      <c r="C10" s="4" t="s">
        <v>41</v>
      </c>
      <c r="D10" s="4" t="s">
        <v>42</v>
      </c>
      <c r="E10" s="4" t="s">
        <v>43</v>
      </c>
      <c r="F10" s="4" t="s">
        <v>44</v>
      </c>
      <c r="G10" s="4" t="s">
        <v>45</v>
      </c>
      <c r="I10" s="1" t="s">
        <v>39</v>
      </c>
      <c r="J10" s="9">
        <f>Funding!C10</f>
        <v>6</v>
      </c>
    </row>
    <row r="13" spans="1:10">
      <c r="A13" s="7" t="s">
        <v>46</v>
      </c>
    </row>
    <row r="14" spans="1:10" ht="144" customHeight="1">
      <c r="A14" s="8" t="s">
        <v>47</v>
      </c>
      <c r="B14" s="8" t="s">
        <v>48</v>
      </c>
    </row>
    <row r="15" spans="1:10" ht="144" customHeight="1">
      <c r="A15" s="8" t="s">
        <v>49</v>
      </c>
      <c r="B15" s="8" t="s">
        <v>50</v>
      </c>
    </row>
    <row r="16" spans="1:10" ht="144" customHeight="1">
      <c r="A16" s="8" t="s">
        <v>51</v>
      </c>
      <c r="B16" s="8" t="s">
        <v>52</v>
      </c>
    </row>
    <row r="17" spans="1:2" ht="144" customHeight="1">
      <c r="A17" s="8" t="s">
        <v>53</v>
      </c>
      <c r="B17" s="8" t="s">
        <v>54</v>
      </c>
    </row>
    <row r="18" spans="1:2" ht="144" customHeight="1">
      <c r="A18" s="8" t="s">
        <v>55</v>
      </c>
      <c r="B18" s="8" t="s">
        <v>56</v>
      </c>
    </row>
    <row r="74" spans="1:3" ht="39">
      <c r="A74" s="19" t="s">
        <v>2097</v>
      </c>
      <c r="B74" s="20">
        <v>361</v>
      </c>
      <c r="C74" s="21">
        <f>B74/$B$81</f>
        <v>0.34315589353612169</v>
      </c>
    </row>
    <row r="75" spans="1:3" ht="19.5">
      <c r="A75" s="19" t="s">
        <v>2098</v>
      </c>
      <c r="B75" s="20">
        <v>192</v>
      </c>
      <c r="C75" s="21">
        <f t="shared" ref="C75:C80" si="0">B75/$B$81</f>
        <v>0.18250950570342206</v>
      </c>
    </row>
    <row r="76" spans="1:3" ht="19.5">
      <c r="A76" s="19" t="s">
        <v>2099</v>
      </c>
      <c r="B76" s="20">
        <v>120</v>
      </c>
      <c r="C76" s="21">
        <f t="shared" si="0"/>
        <v>0.11406844106463879</v>
      </c>
    </row>
    <row r="77" spans="1:3" ht="19.5">
      <c r="A77" s="19" t="s">
        <v>2100</v>
      </c>
      <c r="B77" s="20">
        <v>114</v>
      </c>
      <c r="C77" s="21">
        <f t="shared" si="0"/>
        <v>0.10836501901140684</v>
      </c>
    </row>
    <row r="78" spans="1:3" ht="19.5">
      <c r="A78" s="19" t="s">
        <v>2101</v>
      </c>
      <c r="B78" s="20">
        <v>112</v>
      </c>
      <c r="C78" s="21">
        <f t="shared" si="0"/>
        <v>0.10646387832699619</v>
      </c>
    </row>
    <row r="79" spans="1:3" ht="19.5">
      <c r="A79" s="19" t="s">
        <v>2102</v>
      </c>
      <c r="B79" s="20">
        <v>83</v>
      </c>
      <c r="C79" s="21">
        <f t="shared" si="0"/>
        <v>7.889733840304182E-2</v>
      </c>
    </row>
    <row r="80" spans="1:3" ht="39">
      <c r="A80" s="19" t="s">
        <v>2103</v>
      </c>
      <c r="B80" s="20">
        <v>70</v>
      </c>
      <c r="C80" s="21">
        <f t="shared" si="0"/>
        <v>6.6539923954372623E-2</v>
      </c>
    </row>
    <row r="81" spans="2:3">
      <c r="B81">
        <f>SUM(B74:B80)</f>
        <v>1052</v>
      </c>
      <c r="C81">
        <f>SUM(C74:C80)</f>
        <v>0.99999999999999989</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5"/>
  <sheetViews>
    <sheetView showGridLines="0" zoomScale="80" zoomScaleNormal="80" workbookViewId="0">
      <pane xSplit="2" ySplit="5" topLeftCell="D6" activePane="bottomRight" state="frozen"/>
      <selection pane="topRight"/>
      <selection pane="bottomLeft"/>
      <selection pane="bottomRight" activeCell="A7" sqref="A7"/>
    </sheetView>
  </sheetViews>
  <sheetFormatPr defaultRowHeight="14"/>
  <cols>
    <col min="1" max="1" width="5.1640625" bestFit="1" customWidth="1"/>
    <col min="2" max="2" width="31.25" bestFit="1" customWidth="1"/>
    <col min="3" max="3" width="35" bestFit="1" customWidth="1"/>
    <col min="4" max="4" width="56.9140625" bestFit="1" customWidth="1"/>
    <col min="5" max="5" width="22.4140625" bestFit="1" customWidth="1"/>
    <col min="6" max="6" width="38.4140625" bestFit="1" customWidth="1"/>
    <col min="7" max="7" width="3.75" bestFit="1" customWidth="1"/>
    <col min="8" max="8" width="24.75" bestFit="1" customWidth="1"/>
  </cols>
  <sheetData>
    <row r="1" spans="1:8">
      <c r="A1" s="1"/>
      <c r="B1" s="1"/>
      <c r="C1" s="1"/>
      <c r="D1" s="1"/>
      <c r="E1" s="1"/>
      <c r="F1" s="1"/>
      <c r="G1" s="1"/>
      <c r="H1" s="1"/>
    </row>
    <row r="2" spans="1:8" ht="18">
      <c r="A2" s="2" t="s">
        <v>57</v>
      </c>
      <c r="B2" s="1"/>
      <c r="C2" s="1"/>
      <c r="D2" s="1"/>
      <c r="E2" s="1"/>
      <c r="F2" s="1"/>
      <c r="G2" s="1"/>
      <c r="H2" s="1"/>
    </row>
    <row r="3" spans="1:8" ht="26" customHeight="1">
      <c r="A3" s="3" t="s">
        <v>58</v>
      </c>
      <c r="B3" s="1"/>
      <c r="C3" s="1"/>
      <c r="D3" s="1"/>
      <c r="E3" s="1"/>
      <c r="F3" s="1"/>
      <c r="G3" s="1"/>
      <c r="H3" s="1"/>
    </row>
    <row r="4" spans="1:8">
      <c r="A4" s="1"/>
      <c r="B4" s="1"/>
      <c r="C4" s="1"/>
      <c r="D4" s="1"/>
      <c r="E4" s="1"/>
      <c r="F4" s="1"/>
      <c r="G4" s="1"/>
      <c r="H4" s="1"/>
    </row>
    <row r="5" spans="1:8" ht="34" customHeight="1">
      <c r="A5" s="5" t="s">
        <v>59</v>
      </c>
      <c r="B5" s="5" t="s">
        <v>2</v>
      </c>
      <c r="C5" s="5" t="s">
        <v>60</v>
      </c>
      <c r="D5" s="5" t="s">
        <v>61</v>
      </c>
      <c r="E5" s="5" t="s">
        <v>62</v>
      </c>
      <c r="F5" s="5" t="s">
        <v>63</v>
      </c>
      <c r="G5" s="5" t="s">
        <v>64</v>
      </c>
      <c r="H5" s="5" t="s">
        <v>65</v>
      </c>
    </row>
    <row r="6" spans="1:8" ht="38" customHeight="1">
      <c r="A6" s="4" t="s">
        <v>66</v>
      </c>
      <c r="B6" s="4" t="s">
        <v>32</v>
      </c>
      <c r="C6" s="4" t="s">
        <v>67</v>
      </c>
      <c r="D6" s="4" t="s">
        <v>68</v>
      </c>
      <c r="E6" s="4" t="s">
        <v>69</v>
      </c>
      <c r="F6" s="4" t="s">
        <v>70</v>
      </c>
      <c r="G6" s="4">
        <v>54</v>
      </c>
      <c r="H6" s="4" t="s">
        <v>71</v>
      </c>
    </row>
    <row r="7" spans="1:8" ht="30" customHeight="1">
      <c r="A7" s="6" t="s">
        <v>72</v>
      </c>
      <c r="B7" s="6" t="s">
        <v>11</v>
      </c>
      <c r="C7" s="6" t="s">
        <v>73</v>
      </c>
      <c r="D7" s="6" t="s">
        <v>68</v>
      </c>
      <c r="E7" s="6" t="s">
        <v>74</v>
      </c>
      <c r="F7" s="6" t="s">
        <v>70</v>
      </c>
      <c r="G7" s="6">
        <v>91</v>
      </c>
      <c r="H7" s="6" t="s">
        <v>75</v>
      </c>
    </row>
    <row r="8" spans="1:8" ht="38" customHeight="1">
      <c r="A8" s="4" t="s">
        <v>76</v>
      </c>
      <c r="B8" s="4" t="s">
        <v>25</v>
      </c>
      <c r="C8" s="4" t="s">
        <v>77</v>
      </c>
      <c r="D8" s="4" t="s">
        <v>68</v>
      </c>
      <c r="E8" s="4" t="s">
        <v>78</v>
      </c>
      <c r="F8" s="4" t="s">
        <v>70</v>
      </c>
      <c r="G8" s="4">
        <v>1</v>
      </c>
      <c r="H8" s="4" t="s">
        <v>79</v>
      </c>
    </row>
    <row r="9" spans="1:8" ht="38" customHeight="1">
      <c r="A9" s="6" t="s">
        <v>80</v>
      </c>
      <c r="B9" s="6" t="s">
        <v>18</v>
      </c>
      <c r="C9" s="6" t="s">
        <v>81</v>
      </c>
      <c r="D9" s="6" t="s">
        <v>68</v>
      </c>
      <c r="E9" s="6" t="s">
        <v>69</v>
      </c>
      <c r="F9" s="6" t="s">
        <v>70</v>
      </c>
      <c r="G9" s="6">
        <v>52</v>
      </c>
      <c r="H9" s="6" t="s">
        <v>82</v>
      </c>
    </row>
    <row r="10" spans="1:8" ht="30" customHeight="1">
      <c r="A10" s="4" t="s">
        <v>83</v>
      </c>
      <c r="B10" s="4" t="s">
        <v>39</v>
      </c>
      <c r="C10" s="4" t="s">
        <v>84</v>
      </c>
      <c r="D10" s="4" t="s">
        <v>68</v>
      </c>
      <c r="E10" s="4" t="s">
        <v>78</v>
      </c>
      <c r="F10" s="4" t="s">
        <v>70</v>
      </c>
      <c r="G10" s="4">
        <v>41</v>
      </c>
      <c r="H10" s="4" t="s">
        <v>85</v>
      </c>
    </row>
    <row r="11" spans="1:8" ht="30" customHeight="1">
      <c r="A11" s="6" t="s">
        <v>86</v>
      </c>
      <c r="B11" s="6" t="s">
        <v>87</v>
      </c>
      <c r="C11" s="6" t="s">
        <v>73</v>
      </c>
      <c r="D11" s="6" t="s">
        <v>88</v>
      </c>
      <c r="E11" s="6" t="s">
        <v>78</v>
      </c>
      <c r="F11" s="6" t="s">
        <v>70</v>
      </c>
      <c r="G11" s="6">
        <v>21</v>
      </c>
      <c r="H11" s="6" t="s">
        <v>89</v>
      </c>
    </row>
    <row r="12" spans="1:8" ht="30" customHeight="1">
      <c r="A12" s="4" t="s">
        <v>90</v>
      </c>
      <c r="B12" s="4" t="s">
        <v>91</v>
      </c>
      <c r="C12" s="4" t="s">
        <v>92</v>
      </c>
      <c r="D12" s="4" t="s">
        <v>68</v>
      </c>
      <c r="E12" s="4" t="s">
        <v>78</v>
      </c>
      <c r="F12" s="4" t="s">
        <v>70</v>
      </c>
      <c r="G12" s="4"/>
      <c r="H12" s="4" t="s">
        <v>93</v>
      </c>
    </row>
    <row r="13" spans="1:8" ht="38" customHeight="1">
      <c r="A13" s="6" t="s">
        <v>94</v>
      </c>
      <c r="B13" s="6" t="s">
        <v>95</v>
      </c>
      <c r="C13" s="6" t="s">
        <v>67</v>
      </c>
      <c r="D13" s="6" t="s">
        <v>68</v>
      </c>
      <c r="E13" s="6" t="s">
        <v>96</v>
      </c>
      <c r="F13" s="6" t="s">
        <v>70</v>
      </c>
      <c r="G13" s="6">
        <v>59</v>
      </c>
      <c r="H13" s="6" t="s">
        <v>97</v>
      </c>
    </row>
    <row r="14" spans="1:8" ht="30" customHeight="1">
      <c r="A14" s="4" t="s">
        <v>98</v>
      </c>
      <c r="B14" s="4" t="s">
        <v>99</v>
      </c>
      <c r="C14" s="4" t="s">
        <v>67</v>
      </c>
      <c r="D14" s="4" t="s">
        <v>68</v>
      </c>
      <c r="E14" s="4" t="s">
        <v>78</v>
      </c>
      <c r="F14" s="4" t="s">
        <v>70</v>
      </c>
      <c r="G14" s="4">
        <v>6</v>
      </c>
      <c r="H14" s="4" t="s">
        <v>100</v>
      </c>
    </row>
    <row r="15" spans="1:8" ht="30" customHeight="1">
      <c r="A15" s="6" t="s">
        <v>101</v>
      </c>
      <c r="B15" s="6" t="s">
        <v>102</v>
      </c>
      <c r="C15" s="6" t="s">
        <v>103</v>
      </c>
      <c r="D15" s="6" t="s">
        <v>68</v>
      </c>
      <c r="E15" s="6" t="s">
        <v>78</v>
      </c>
      <c r="F15" s="6" t="s">
        <v>70</v>
      </c>
      <c r="G15" s="6">
        <v>2</v>
      </c>
      <c r="H15" s="6" t="s">
        <v>104</v>
      </c>
    </row>
    <row r="16" spans="1:8" ht="38" customHeight="1">
      <c r="A16" s="4" t="s">
        <v>105</v>
      </c>
      <c r="B16" s="4" t="s">
        <v>106</v>
      </c>
      <c r="C16" s="4" t="s">
        <v>103</v>
      </c>
      <c r="D16" s="4" t="s">
        <v>68</v>
      </c>
      <c r="E16" s="4" t="s">
        <v>78</v>
      </c>
      <c r="F16" s="4" t="s">
        <v>70</v>
      </c>
      <c r="G16" s="4">
        <v>3</v>
      </c>
      <c r="H16" s="4" t="s">
        <v>107</v>
      </c>
    </row>
    <row r="17" spans="1:8" ht="30" customHeight="1">
      <c r="A17" s="6" t="s">
        <v>108</v>
      </c>
      <c r="B17" s="6" t="s">
        <v>109</v>
      </c>
      <c r="C17" s="6" t="s">
        <v>67</v>
      </c>
      <c r="D17" s="6" t="s">
        <v>68</v>
      </c>
      <c r="E17" s="6" t="s">
        <v>78</v>
      </c>
      <c r="F17" s="6" t="s">
        <v>70</v>
      </c>
      <c r="G17" s="6"/>
      <c r="H17" s="6" t="s">
        <v>110</v>
      </c>
    </row>
    <row r="18" spans="1:8" ht="30" customHeight="1">
      <c r="A18" s="4" t="s">
        <v>111</v>
      </c>
      <c r="B18" s="4" t="s">
        <v>112</v>
      </c>
      <c r="C18" s="4" t="s">
        <v>103</v>
      </c>
      <c r="D18" s="4" t="s">
        <v>68</v>
      </c>
      <c r="E18" s="4" t="s">
        <v>78</v>
      </c>
      <c r="F18" s="4" t="s">
        <v>70</v>
      </c>
      <c r="G18" s="4"/>
      <c r="H18" s="4" t="s">
        <v>113</v>
      </c>
    </row>
    <row r="19" spans="1:8" ht="30" customHeight="1">
      <c r="A19" s="6" t="s">
        <v>114</v>
      </c>
      <c r="B19" s="6" t="s">
        <v>115</v>
      </c>
      <c r="C19" s="6" t="s">
        <v>73</v>
      </c>
      <c r="D19" s="6" t="s">
        <v>68</v>
      </c>
      <c r="E19" s="6" t="s">
        <v>78</v>
      </c>
      <c r="F19" s="6" t="s">
        <v>70</v>
      </c>
      <c r="G19" s="6">
        <v>4</v>
      </c>
      <c r="H19" s="6" t="s">
        <v>116</v>
      </c>
    </row>
    <row r="20" spans="1:8" ht="30" customHeight="1">
      <c r="A20" s="4" t="s">
        <v>117</v>
      </c>
      <c r="B20" s="4" t="s">
        <v>118</v>
      </c>
      <c r="C20" s="4" t="s">
        <v>77</v>
      </c>
      <c r="D20" s="4" t="s">
        <v>68</v>
      </c>
      <c r="E20" s="4" t="s">
        <v>69</v>
      </c>
      <c r="F20" s="4" t="s">
        <v>70</v>
      </c>
      <c r="G20" s="4">
        <v>51</v>
      </c>
      <c r="H20" s="4" t="s">
        <v>119</v>
      </c>
    </row>
    <row r="21" spans="1:8" ht="30" customHeight="1">
      <c r="A21" s="6" t="s">
        <v>120</v>
      </c>
      <c r="B21" s="6" t="s">
        <v>121</v>
      </c>
      <c r="C21" s="6" t="s">
        <v>73</v>
      </c>
      <c r="D21" s="6" t="s">
        <v>68</v>
      </c>
      <c r="E21" s="6" t="s">
        <v>122</v>
      </c>
      <c r="F21" s="6" t="s">
        <v>70</v>
      </c>
      <c r="G21" s="6">
        <v>63</v>
      </c>
      <c r="H21" s="6" t="s">
        <v>123</v>
      </c>
    </row>
    <row r="22" spans="1:8" ht="30" customHeight="1">
      <c r="A22" s="4" t="s">
        <v>124</v>
      </c>
      <c r="B22" s="4" t="s">
        <v>125</v>
      </c>
      <c r="C22" s="4" t="s">
        <v>73</v>
      </c>
      <c r="D22" s="4" t="s">
        <v>68</v>
      </c>
      <c r="E22" s="4" t="s">
        <v>78</v>
      </c>
      <c r="F22" s="4" t="s">
        <v>70</v>
      </c>
      <c r="G22" s="4"/>
      <c r="H22" s="4" t="s">
        <v>126</v>
      </c>
    </row>
    <row r="23" spans="1:8" ht="30" customHeight="1">
      <c r="A23" s="6" t="s">
        <v>127</v>
      </c>
      <c r="B23" s="6" t="s">
        <v>128</v>
      </c>
      <c r="C23" s="6" t="s">
        <v>129</v>
      </c>
      <c r="D23" s="6" t="s">
        <v>68</v>
      </c>
      <c r="E23" s="6" t="s">
        <v>130</v>
      </c>
      <c r="F23" s="6" t="s">
        <v>70</v>
      </c>
      <c r="G23" s="6">
        <v>97</v>
      </c>
      <c r="H23" s="6" t="s">
        <v>131</v>
      </c>
    </row>
    <row r="24" spans="1:8" ht="38" customHeight="1">
      <c r="A24" s="4" t="s">
        <v>132</v>
      </c>
      <c r="B24" s="4" t="s">
        <v>133</v>
      </c>
      <c r="C24" s="4" t="s">
        <v>129</v>
      </c>
      <c r="D24" s="4" t="s">
        <v>68</v>
      </c>
      <c r="E24" s="4" t="s">
        <v>78</v>
      </c>
      <c r="F24" s="4" t="s">
        <v>70</v>
      </c>
      <c r="G24" s="4">
        <v>13</v>
      </c>
      <c r="H24" s="4" t="s">
        <v>134</v>
      </c>
    </row>
    <row r="25" spans="1:8" ht="30" customHeight="1">
      <c r="A25" s="6" t="s">
        <v>135</v>
      </c>
      <c r="B25" s="6" t="s">
        <v>136</v>
      </c>
      <c r="C25" s="6" t="s">
        <v>77</v>
      </c>
      <c r="D25" s="6" t="s">
        <v>68</v>
      </c>
      <c r="E25" s="6" t="s">
        <v>96</v>
      </c>
      <c r="F25" s="6" t="s">
        <v>70</v>
      </c>
      <c r="G25" s="6">
        <v>60</v>
      </c>
      <c r="H25" s="6" t="s">
        <v>137</v>
      </c>
    </row>
    <row r="26" spans="1:8" ht="30" customHeight="1">
      <c r="A26" s="4" t="s">
        <v>138</v>
      </c>
      <c r="B26" s="4" t="s">
        <v>139</v>
      </c>
      <c r="C26" s="4" t="s">
        <v>129</v>
      </c>
      <c r="D26" s="4" t="s">
        <v>68</v>
      </c>
      <c r="E26" s="4" t="s">
        <v>78</v>
      </c>
      <c r="F26" s="4" t="s">
        <v>70</v>
      </c>
      <c r="G26" s="4">
        <v>19</v>
      </c>
      <c r="H26" s="4" t="s">
        <v>140</v>
      </c>
    </row>
    <row r="27" spans="1:8" ht="30" customHeight="1">
      <c r="A27" s="6" t="s">
        <v>141</v>
      </c>
      <c r="B27" s="6" t="s">
        <v>142</v>
      </c>
      <c r="C27" s="6" t="s">
        <v>77</v>
      </c>
      <c r="D27" s="6" t="s">
        <v>68</v>
      </c>
      <c r="E27" s="6" t="s">
        <v>78</v>
      </c>
      <c r="F27" s="6" t="s">
        <v>70</v>
      </c>
      <c r="G27" s="6">
        <v>37</v>
      </c>
      <c r="H27" s="6" t="s">
        <v>143</v>
      </c>
    </row>
    <row r="28" spans="1:8" ht="38" customHeight="1">
      <c r="A28" s="4" t="s">
        <v>144</v>
      </c>
      <c r="B28" s="4" t="s">
        <v>145</v>
      </c>
      <c r="C28" s="4" t="s">
        <v>77</v>
      </c>
      <c r="D28" s="4" t="s">
        <v>146</v>
      </c>
      <c r="E28" s="4" t="s">
        <v>69</v>
      </c>
      <c r="F28" s="4" t="s">
        <v>70</v>
      </c>
      <c r="G28" s="4">
        <v>58</v>
      </c>
      <c r="H28" s="4" t="s">
        <v>147</v>
      </c>
    </row>
    <row r="29" spans="1:8" ht="30" customHeight="1">
      <c r="A29" s="6" t="s">
        <v>148</v>
      </c>
      <c r="B29" s="6" t="s">
        <v>149</v>
      </c>
      <c r="C29" s="6" t="s">
        <v>129</v>
      </c>
      <c r="D29" s="6" t="s">
        <v>68</v>
      </c>
      <c r="E29" s="6" t="s">
        <v>150</v>
      </c>
      <c r="F29" s="6" t="s">
        <v>70</v>
      </c>
      <c r="G29" s="6">
        <v>83</v>
      </c>
      <c r="H29" s="6" t="s">
        <v>151</v>
      </c>
    </row>
    <row r="30" spans="1:8" ht="30" customHeight="1">
      <c r="A30" s="4" t="s">
        <v>152</v>
      </c>
      <c r="B30" s="4" t="s">
        <v>153</v>
      </c>
      <c r="C30" s="4" t="s">
        <v>154</v>
      </c>
      <c r="D30" s="4" t="s">
        <v>155</v>
      </c>
      <c r="E30" s="4" t="s">
        <v>74</v>
      </c>
      <c r="F30" s="4" t="s">
        <v>70</v>
      </c>
      <c r="G30" s="4">
        <v>92</v>
      </c>
      <c r="H30" s="4" t="s">
        <v>156</v>
      </c>
    </row>
    <row r="31" spans="1:8" ht="30" customHeight="1">
      <c r="A31" s="6" t="s">
        <v>157</v>
      </c>
      <c r="B31" s="6" t="s">
        <v>158</v>
      </c>
      <c r="C31" s="6" t="s">
        <v>77</v>
      </c>
      <c r="D31" s="6" t="s">
        <v>68</v>
      </c>
      <c r="E31" s="6" t="s">
        <v>122</v>
      </c>
      <c r="F31" s="6" t="s">
        <v>70</v>
      </c>
      <c r="G31" s="6">
        <v>64</v>
      </c>
      <c r="H31" s="6" t="s">
        <v>159</v>
      </c>
    </row>
    <row r="32" spans="1:8" ht="30" customHeight="1">
      <c r="A32" s="4" t="s">
        <v>160</v>
      </c>
      <c r="B32" s="4" t="s">
        <v>161</v>
      </c>
      <c r="C32" s="4" t="s">
        <v>77</v>
      </c>
      <c r="D32" s="4" t="s">
        <v>68</v>
      </c>
      <c r="E32" s="4" t="s">
        <v>78</v>
      </c>
      <c r="F32" s="4" t="s">
        <v>70</v>
      </c>
      <c r="G32" s="4">
        <v>16</v>
      </c>
      <c r="H32" s="4" t="s">
        <v>162</v>
      </c>
    </row>
    <row r="33" spans="1:8" ht="30" customHeight="1">
      <c r="A33" s="6" t="s">
        <v>163</v>
      </c>
      <c r="B33" s="6" t="s">
        <v>164</v>
      </c>
      <c r="C33" s="6" t="s">
        <v>154</v>
      </c>
      <c r="D33" s="6" t="s">
        <v>68</v>
      </c>
      <c r="E33" s="6" t="s">
        <v>78</v>
      </c>
      <c r="F33" s="6" t="s">
        <v>70</v>
      </c>
      <c r="G33" s="6">
        <v>14</v>
      </c>
      <c r="H33" s="6" t="s">
        <v>165</v>
      </c>
    </row>
    <row r="34" spans="1:8" ht="30" customHeight="1">
      <c r="A34" s="4" t="s">
        <v>166</v>
      </c>
      <c r="B34" s="4" t="s">
        <v>167</v>
      </c>
      <c r="C34" s="4" t="s">
        <v>67</v>
      </c>
      <c r="D34" s="4" t="s">
        <v>68</v>
      </c>
      <c r="E34" s="4" t="s">
        <v>78</v>
      </c>
      <c r="F34" s="4" t="s">
        <v>70</v>
      </c>
      <c r="G34" s="4">
        <v>12</v>
      </c>
      <c r="H34" s="4" t="s">
        <v>168</v>
      </c>
    </row>
    <row r="35" spans="1:8" ht="30" customHeight="1">
      <c r="A35" s="6" t="s">
        <v>169</v>
      </c>
      <c r="B35" s="6" t="s">
        <v>170</v>
      </c>
      <c r="C35" s="6" t="s">
        <v>84</v>
      </c>
      <c r="D35" s="6" t="s">
        <v>68</v>
      </c>
      <c r="E35" s="6" t="s">
        <v>78</v>
      </c>
      <c r="F35" s="6" t="s">
        <v>70</v>
      </c>
      <c r="G35" s="6"/>
      <c r="H35" s="6" t="s">
        <v>171</v>
      </c>
    </row>
    <row r="36" spans="1:8" ht="30" customHeight="1">
      <c r="A36" s="4" t="s">
        <v>172</v>
      </c>
      <c r="B36" s="4" t="s">
        <v>173</v>
      </c>
      <c r="C36" s="4" t="s">
        <v>77</v>
      </c>
      <c r="D36" s="4" t="s">
        <v>68</v>
      </c>
      <c r="E36" s="4" t="s">
        <v>78</v>
      </c>
      <c r="F36" s="4" t="s">
        <v>70</v>
      </c>
      <c r="G36" s="4">
        <v>40</v>
      </c>
      <c r="H36" s="4" t="s">
        <v>174</v>
      </c>
    </row>
    <row r="37" spans="1:8" ht="30" customHeight="1">
      <c r="A37" s="6" t="s">
        <v>175</v>
      </c>
      <c r="B37" s="6" t="s">
        <v>176</v>
      </c>
      <c r="C37" s="6" t="s">
        <v>77</v>
      </c>
      <c r="D37" s="6" t="s">
        <v>68</v>
      </c>
      <c r="E37" s="6" t="s">
        <v>150</v>
      </c>
      <c r="F37" s="6" t="s">
        <v>70</v>
      </c>
      <c r="G37" s="6">
        <v>79</v>
      </c>
      <c r="H37" s="6" t="s">
        <v>177</v>
      </c>
    </row>
    <row r="38" spans="1:8" ht="38" customHeight="1">
      <c r="A38" s="4" t="s">
        <v>178</v>
      </c>
      <c r="B38" s="4" t="s">
        <v>179</v>
      </c>
      <c r="C38" s="4" t="s">
        <v>103</v>
      </c>
      <c r="D38" s="4" t="s">
        <v>180</v>
      </c>
      <c r="E38" s="4" t="s">
        <v>78</v>
      </c>
      <c r="F38" s="4" t="s">
        <v>70</v>
      </c>
      <c r="G38" s="4">
        <v>44</v>
      </c>
      <c r="H38" s="4" t="s">
        <v>181</v>
      </c>
    </row>
    <row r="39" spans="1:8" ht="30" customHeight="1">
      <c r="A39" s="6" t="s">
        <v>182</v>
      </c>
      <c r="B39" s="6" t="s">
        <v>183</v>
      </c>
      <c r="C39" s="6" t="s">
        <v>184</v>
      </c>
      <c r="D39" s="6" t="s">
        <v>68</v>
      </c>
      <c r="E39" s="6" t="s">
        <v>78</v>
      </c>
      <c r="F39" s="6" t="s">
        <v>70</v>
      </c>
      <c r="G39" s="6">
        <v>24</v>
      </c>
      <c r="H39" s="6" t="s">
        <v>185</v>
      </c>
    </row>
    <row r="40" spans="1:8" ht="30" customHeight="1">
      <c r="A40" s="4" t="s">
        <v>186</v>
      </c>
      <c r="B40" s="4" t="s">
        <v>187</v>
      </c>
      <c r="C40" s="4" t="s">
        <v>67</v>
      </c>
      <c r="D40" s="4" t="s">
        <v>68</v>
      </c>
      <c r="E40" s="4" t="s">
        <v>78</v>
      </c>
      <c r="F40" s="4" t="s">
        <v>70</v>
      </c>
      <c r="G40" s="4">
        <v>23</v>
      </c>
      <c r="H40" s="4" t="s">
        <v>188</v>
      </c>
    </row>
    <row r="41" spans="1:8" ht="30" customHeight="1">
      <c r="A41" s="6" t="s">
        <v>189</v>
      </c>
      <c r="B41" s="6" t="s">
        <v>190</v>
      </c>
      <c r="C41" s="6" t="s">
        <v>81</v>
      </c>
      <c r="D41" s="6" t="s">
        <v>191</v>
      </c>
      <c r="E41" s="6" t="s">
        <v>78</v>
      </c>
      <c r="F41" s="6" t="s">
        <v>70</v>
      </c>
      <c r="G41" s="6">
        <v>17</v>
      </c>
      <c r="H41" s="6" t="s">
        <v>192</v>
      </c>
    </row>
    <row r="42" spans="1:8" ht="30" customHeight="1">
      <c r="A42" s="4" t="s">
        <v>193</v>
      </c>
      <c r="B42" s="4" t="s">
        <v>194</v>
      </c>
      <c r="C42" s="4" t="s">
        <v>184</v>
      </c>
      <c r="D42" s="4" t="s">
        <v>68</v>
      </c>
      <c r="E42" s="4" t="s">
        <v>78</v>
      </c>
      <c r="F42" s="4" t="s">
        <v>70</v>
      </c>
      <c r="G42" s="4">
        <v>9</v>
      </c>
      <c r="H42" s="4" t="s">
        <v>195</v>
      </c>
    </row>
    <row r="43" spans="1:8" ht="30" customHeight="1">
      <c r="A43" s="6" t="s">
        <v>196</v>
      </c>
      <c r="B43" s="6" t="s">
        <v>197</v>
      </c>
      <c r="C43" s="6" t="s">
        <v>198</v>
      </c>
      <c r="D43" s="6" t="s">
        <v>68</v>
      </c>
      <c r="E43" s="6" t="s">
        <v>78</v>
      </c>
      <c r="F43" s="6" t="s">
        <v>70</v>
      </c>
      <c r="G43" s="6">
        <v>11</v>
      </c>
      <c r="H43" s="6" t="s">
        <v>199</v>
      </c>
    </row>
    <row r="44" spans="1:8" ht="30" customHeight="1">
      <c r="A44" s="4" t="s">
        <v>200</v>
      </c>
      <c r="B44" s="4" t="s">
        <v>201</v>
      </c>
      <c r="C44" s="4" t="s">
        <v>154</v>
      </c>
      <c r="D44" s="4" t="s">
        <v>68</v>
      </c>
      <c r="E44" s="4" t="s">
        <v>78</v>
      </c>
      <c r="F44" s="4" t="s">
        <v>70</v>
      </c>
      <c r="G44" s="4">
        <v>8</v>
      </c>
      <c r="H44" s="4" t="s">
        <v>202</v>
      </c>
    </row>
    <row r="45" spans="1:8" ht="30" customHeight="1">
      <c r="A45" s="6" t="s">
        <v>203</v>
      </c>
      <c r="B45" s="6" t="s">
        <v>204</v>
      </c>
      <c r="C45" s="6" t="s">
        <v>73</v>
      </c>
      <c r="D45" s="6" t="s">
        <v>68</v>
      </c>
      <c r="E45" s="6" t="s">
        <v>78</v>
      </c>
      <c r="F45" s="6" t="s">
        <v>70</v>
      </c>
      <c r="G45" s="6">
        <v>22</v>
      </c>
      <c r="H45" s="6" t="s">
        <v>205</v>
      </c>
    </row>
    <row r="46" spans="1:8" ht="30" customHeight="1">
      <c r="A46" s="4" t="s">
        <v>206</v>
      </c>
      <c r="B46" s="4" t="s">
        <v>207</v>
      </c>
      <c r="C46" s="4" t="s">
        <v>154</v>
      </c>
      <c r="D46" s="4" t="s">
        <v>68</v>
      </c>
      <c r="E46" s="4" t="s">
        <v>78</v>
      </c>
      <c r="F46" s="4" t="s">
        <v>70</v>
      </c>
      <c r="G46" s="4"/>
      <c r="H46" s="4" t="s">
        <v>208</v>
      </c>
    </row>
    <row r="47" spans="1:8" ht="30" customHeight="1">
      <c r="A47" s="6" t="s">
        <v>209</v>
      </c>
      <c r="B47" s="6" t="s">
        <v>210</v>
      </c>
      <c r="C47" s="6" t="s">
        <v>154</v>
      </c>
      <c r="D47" s="6" t="s">
        <v>68</v>
      </c>
      <c r="E47" s="6" t="s">
        <v>78</v>
      </c>
      <c r="F47" s="6" t="s">
        <v>70</v>
      </c>
      <c r="G47" s="6"/>
      <c r="H47" s="6" t="s">
        <v>211</v>
      </c>
    </row>
    <row r="48" spans="1:8" ht="30" customHeight="1">
      <c r="A48" s="4" t="s">
        <v>212</v>
      </c>
      <c r="B48" s="4" t="s">
        <v>213</v>
      </c>
      <c r="C48" s="4" t="s">
        <v>77</v>
      </c>
      <c r="D48" s="4" t="s">
        <v>191</v>
      </c>
      <c r="E48" s="4" t="s">
        <v>78</v>
      </c>
      <c r="F48" s="4" t="s">
        <v>70</v>
      </c>
      <c r="G48" s="4">
        <v>31</v>
      </c>
      <c r="H48" s="4" t="s">
        <v>214</v>
      </c>
    </row>
    <row r="49" spans="1:8" ht="30" customHeight="1">
      <c r="A49" s="6" t="s">
        <v>215</v>
      </c>
      <c r="B49" s="6" t="s">
        <v>216</v>
      </c>
      <c r="C49" s="6" t="s">
        <v>217</v>
      </c>
      <c r="D49" s="6" t="s">
        <v>218</v>
      </c>
      <c r="E49" s="6" t="s">
        <v>219</v>
      </c>
      <c r="F49" s="6" t="s">
        <v>70</v>
      </c>
      <c r="G49" s="6"/>
      <c r="H49" s="6" t="s">
        <v>220</v>
      </c>
    </row>
    <row r="50" spans="1:8" ht="38" customHeight="1">
      <c r="A50" s="4" t="s">
        <v>221</v>
      </c>
      <c r="B50" s="4" t="s">
        <v>222</v>
      </c>
      <c r="C50" s="4" t="s">
        <v>217</v>
      </c>
      <c r="D50" s="4" t="s">
        <v>223</v>
      </c>
      <c r="E50" s="4" t="s">
        <v>150</v>
      </c>
      <c r="F50" s="4" t="s">
        <v>70</v>
      </c>
      <c r="G50" s="4"/>
      <c r="H50" s="4" t="s">
        <v>224</v>
      </c>
    </row>
    <row r="51" spans="1:8" ht="30" customHeight="1">
      <c r="A51" s="6" t="s">
        <v>225</v>
      </c>
      <c r="B51" s="6" t="s">
        <v>226</v>
      </c>
      <c r="C51" s="6" t="s">
        <v>103</v>
      </c>
      <c r="D51" s="6" t="s">
        <v>227</v>
      </c>
      <c r="E51" s="6" t="s">
        <v>228</v>
      </c>
      <c r="F51" s="6" t="s">
        <v>70</v>
      </c>
      <c r="G51" s="6"/>
      <c r="H51" s="6" t="s">
        <v>229</v>
      </c>
    </row>
    <row r="52" spans="1:8" ht="38" customHeight="1">
      <c r="A52" s="4" t="s">
        <v>230</v>
      </c>
      <c r="B52" s="4" t="s">
        <v>231</v>
      </c>
      <c r="C52" s="4" t="s">
        <v>84</v>
      </c>
      <c r="D52" s="4" t="s">
        <v>232</v>
      </c>
      <c r="E52" s="4" t="s">
        <v>233</v>
      </c>
      <c r="F52" s="4" t="s">
        <v>70</v>
      </c>
      <c r="G52" s="4"/>
      <c r="H52" s="4" t="s">
        <v>234</v>
      </c>
    </row>
    <row r="53" spans="1:8" ht="38" customHeight="1">
      <c r="A53" s="6" t="s">
        <v>235</v>
      </c>
      <c r="B53" s="6" t="s">
        <v>236</v>
      </c>
      <c r="C53" s="6" t="s">
        <v>73</v>
      </c>
      <c r="D53" s="6" t="s">
        <v>237</v>
      </c>
      <c r="E53" s="6" t="s">
        <v>78</v>
      </c>
      <c r="F53" s="6" t="s">
        <v>70</v>
      </c>
      <c r="G53" s="6"/>
      <c r="H53" s="6" t="s">
        <v>238</v>
      </c>
    </row>
    <row r="54" spans="1:8" ht="30" customHeight="1">
      <c r="A54" s="4" t="s">
        <v>239</v>
      </c>
      <c r="B54" s="4" t="s">
        <v>240</v>
      </c>
      <c r="C54" s="4" t="s">
        <v>92</v>
      </c>
      <c r="D54" s="4" t="s">
        <v>241</v>
      </c>
      <c r="E54" s="4" t="s">
        <v>242</v>
      </c>
      <c r="F54" s="4" t="s">
        <v>70</v>
      </c>
      <c r="G54" s="4"/>
      <c r="H54" s="4" t="s">
        <v>243</v>
      </c>
    </row>
    <row r="55" spans="1:8" ht="38" customHeight="1">
      <c r="A55" s="6" t="s">
        <v>244</v>
      </c>
      <c r="B55" s="6" t="s">
        <v>245</v>
      </c>
      <c r="C55" s="6" t="s">
        <v>77</v>
      </c>
      <c r="D55" s="6" t="s">
        <v>246</v>
      </c>
      <c r="E55" s="6" t="s">
        <v>78</v>
      </c>
      <c r="F55" s="6" t="s">
        <v>70</v>
      </c>
      <c r="G55" s="6">
        <v>5</v>
      </c>
      <c r="H55" s="6" t="s">
        <v>247</v>
      </c>
    </row>
    <row r="56" spans="1:8" ht="38" customHeight="1">
      <c r="A56" s="4" t="s">
        <v>248</v>
      </c>
      <c r="B56" s="4" t="s">
        <v>249</v>
      </c>
      <c r="C56" s="4" t="s">
        <v>250</v>
      </c>
      <c r="D56" s="4" t="s">
        <v>68</v>
      </c>
      <c r="E56" s="4" t="s">
        <v>78</v>
      </c>
      <c r="F56" s="4" t="s">
        <v>70</v>
      </c>
      <c r="G56" s="4"/>
      <c r="H56" s="4" t="s">
        <v>251</v>
      </c>
    </row>
    <row r="57" spans="1:8" ht="30" customHeight="1">
      <c r="A57" s="6" t="s">
        <v>252</v>
      </c>
      <c r="B57" s="6" t="s">
        <v>253</v>
      </c>
      <c r="C57" s="6" t="s">
        <v>154</v>
      </c>
      <c r="D57" s="6" t="s">
        <v>68</v>
      </c>
      <c r="E57" s="6" t="s">
        <v>78</v>
      </c>
      <c r="F57" s="6" t="s">
        <v>70</v>
      </c>
      <c r="G57" s="6">
        <v>35</v>
      </c>
      <c r="H57" s="6" t="s">
        <v>254</v>
      </c>
    </row>
    <row r="58" spans="1:8" ht="30" customHeight="1">
      <c r="A58" s="4" t="s">
        <v>255</v>
      </c>
      <c r="B58" s="4" t="s">
        <v>256</v>
      </c>
      <c r="C58" s="4" t="s">
        <v>154</v>
      </c>
      <c r="D58" s="4" t="s">
        <v>257</v>
      </c>
      <c r="E58" s="4" t="s">
        <v>122</v>
      </c>
      <c r="F58" s="4" t="s">
        <v>70</v>
      </c>
      <c r="G58" s="4">
        <v>67</v>
      </c>
      <c r="H58" s="4" t="s">
        <v>258</v>
      </c>
    </row>
    <row r="59" spans="1:8" ht="38" customHeight="1">
      <c r="A59" s="6" t="s">
        <v>259</v>
      </c>
      <c r="B59" s="6" t="s">
        <v>260</v>
      </c>
      <c r="C59" s="6" t="s">
        <v>77</v>
      </c>
      <c r="D59" s="6" t="s">
        <v>68</v>
      </c>
      <c r="E59" s="6" t="s">
        <v>219</v>
      </c>
      <c r="F59" s="6" t="s">
        <v>70</v>
      </c>
      <c r="G59" s="6">
        <v>85</v>
      </c>
      <c r="H59" s="6" t="s">
        <v>261</v>
      </c>
    </row>
    <row r="60" spans="1:8" ht="38" customHeight="1">
      <c r="A60" s="4" t="s">
        <v>262</v>
      </c>
      <c r="B60" s="4" t="s">
        <v>263</v>
      </c>
      <c r="C60" s="4" t="s">
        <v>264</v>
      </c>
      <c r="D60" s="4" t="s">
        <v>265</v>
      </c>
      <c r="E60" s="4" t="s">
        <v>78</v>
      </c>
      <c r="F60" s="4" t="s">
        <v>266</v>
      </c>
      <c r="G60" s="4">
        <v>7</v>
      </c>
      <c r="H60" s="4" t="s">
        <v>267</v>
      </c>
    </row>
    <row r="61" spans="1:8" ht="38" customHeight="1">
      <c r="A61" s="6" t="s">
        <v>268</v>
      </c>
      <c r="B61" s="6" t="s">
        <v>269</v>
      </c>
      <c r="C61" s="6" t="s">
        <v>264</v>
      </c>
      <c r="D61" s="6" t="s">
        <v>265</v>
      </c>
      <c r="E61" s="6" t="s">
        <v>78</v>
      </c>
      <c r="F61" s="6" t="s">
        <v>266</v>
      </c>
      <c r="G61" s="6">
        <v>10</v>
      </c>
      <c r="H61" s="6" t="s">
        <v>267</v>
      </c>
    </row>
    <row r="62" spans="1:8" ht="38" customHeight="1">
      <c r="A62" s="4" t="s">
        <v>270</v>
      </c>
      <c r="B62" s="4" t="s">
        <v>271</v>
      </c>
      <c r="C62" s="4" t="s">
        <v>264</v>
      </c>
      <c r="D62" s="4" t="s">
        <v>265</v>
      </c>
      <c r="E62" s="4" t="s">
        <v>78</v>
      </c>
      <c r="F62" s="4" t="s">
        <v>266</v>
      </c>
      <c r="G62" s="4">
        <v>15</v>
      </c>
      <c r="H62" s="4" t="s">
        <v>267</v>
      </c>
    </row>
    <row r="63" spans="1:8" ht="38" customHeight="1">
      <c r="A63" s="6" t="s">
        <v>272</v>
      </c>
      <c r="B63" s="6" t="s">
        <v>273</v>
      </c>
      <c r="C63" s="6" t="s">
        <v>264</v>
      </c>
      <c r="D63" s="6" t="s">
        <v>265</v>
      </c>
      <c r="E63" s="6" t="s">
        <v>78</v>
      </c>
      <c r="F63" s="6" t="s">
        <v>266</v>
      </c>
      <c r="G63" s="6">
        <v>18</v>
      </c>
      <c r="H63" s="6" t="s">
        <v>267</v>
      </c>
    </row>
    <row r="64" spans="1:8" ht="38" customHeight="1">
      <c r="A64" s="4" t="s">
        <v>274</v>
      </c>
      <c r="B64" s="4" t="s">
        <v>275</v>
      </c>
      <c r="C64" s="4" t="s">
        <v>264</v>
      </c>
      <c r="D64" s="4" t="s">
        <v>265</v>
      </c>
      <c r="E64" s="4" t="s">
        <v>78</v>
      </c>
      <c r="F64" s="4" t="s">
        <v>266</v>
      </c>
      <c r="G64" s="4">
        <v>20</v>
      </c>
      <c r="H64" s="4" t="s">
        <v>267</v>
      </c>
    </row>
    <row r="65" spans="1:8" ht="38" customHeight="1">
      <c r="A65" s="6" t="s">
        <v>276</v>
      </c>
      <c r="B65" s="6" t="s">
        <v>277</v>
      </c>
      <c r="C65" s="6" t="s">
        <v>264</v>
      </c>
      <c r="D65" s="6" t="s">
        <v>265</v>
      </c>
      <c r="E65" s="6" t="s">
        <v>78</v>
      </c>
      <c r="F65" s="6" t="s">
        <v>266</v>
      </c>
      <c r="G65" s="6">
        <v>25</v>
      </c>
      <c r="H65" s="6" t="s">
        <v>267</v>
      </c>
    </row>
    <row r="66" spans="1:8" ht="38" customHeight="1">
      <c r="A66" s="4" t="s">
        <v>278</v>
      </c>
      <c r="B66" s="4" t="s">
        <v>279</v>
      </c>
      <c r="C66" s="4" t="s">
        <v>264</v>
      </c>
      <c r="D66" s="4" t="s">
        <v>265</v>
      </c>
      <c r="E66" s="4" t="s">
        <v>78</v>
      </c>
      <c r="F66" s="4" t="s">
        <v>266</v>
      </c>
      <c r="G66" s="4">
        <v>26</v>
      </c>
      <c r="H66" s="4" t="s">
        <v>267</v>
      </c>
    </row>
    <row r="67" spans="1:8" ht="38" customHeight="1">
      <c r="A67" s="6" t="s">
        <v>280</v>
      </c>
      <c r="B67" s="6" t="s">
        <v>281</v>
      </c>
      <c r="C67" s="6" t="s">
        <v>264</v>
      </c>
      <c r="D67" s="6" t="s">
        <v>265</v>
      </c>
      <c r="E67" s="6" t="s">
        <v>78</v>
      </c>
      <c r="F67" s="6" t="s">
        <v>266</v>
      </c>
      <c r="G67" s="6">
        <v>27</v>
      </c>
      <c r="H67" s="6" t="s">
        <v>267</v>
      </c>
    </row>
    <row r="68" spans="1:8" ht="38" customHeight="1">
      <c r="A68" s="4" t="s">
        <v>282</v>
      </c>
      <c r="B68" s="4" t="s">
        <v>283</v>
      </c>
      <c r="C68" s="4" t="s">
        <v>264</v>
      </c>
      <c r="D68" s="4" t="s">
        <v>265</v>
      </c>
      <c r="E68" s="4" t="s">
        <v>78</v>
      </c>
      <c r="F68" s="4" t="s">
        <v>266</v>
      </c>
      <c r="G68" s="4">
        <v>28</v>
      </c>
      <c r="H68" s="4" t="s">
        <v>267</v>
      </c>
    </row>
    <row r="69" spans="1:8" ht="38" customHeight="1">
      <c r="A69" s="6" t="s">
        <v>284</v>
      </c>
      <c r="B69" s="6" t="s">
        <v>285</v>
      </c>
      <c r="C69" s="6" t="s">
        <v>264</v>
      </c>
      <c r="D69" s="6" t="s">
        <v>265</v>
      </c>
      <c r="E69" s="6" t="s">
        <v>78</v>
      </c>
      <c r="F69" s="6" t="s">
        <v>266</v>
      </c>
      <c r="G69" s="6">
        <v>29</v>
      </c>
      <c r="H69" s="6" t="s">
        <v>267</v>
      </c>
    </row>
    <row r="70" spans="1:8" ht="38" customHeight="1">
      <c r="A70" s="4" t="s">
        <v>286</v>
      </c>
      <c r="B70" s="4" t="s">
        <v>287</v>
      </c>
      <c r="C70" s="4" t="s">
        <v>264</v>
      </c>
      <c r="D70" s="4" t="s">
        <v>265</v>
      </c>
      <c r="E70" s="4" t="s">
        <v>78</v>
      </c>
      <c r="F70" s="4" t="s">
        <v>266</v>
      </c>
      <c r="G70" s="4">
        <v>30</v>
      </c>
      <c r="H70" s="4" t="s">
        <v>267</v>
      </c>
    </row>
    <row r="71" spans="1:8" ht="38" customHeight="1">
      <c r="A71" s="6" t="s">
        <v>288</v>
      </c>
      <c r="B71" s="6" t="s">
        <v>289</v>
      </c>
      <c r="C71" s="6" t="s">
        <v>264</v>
      </c>
      <c r="D71" s="6" t="s">
        <v>265</v>
      </c>
      <c r="E71" s="6" t="s">
        <v>78</v>
      </c>
      <c r="F71" s="6" t="s">
        <v>266</v>
      </c>
      <c r="G71" s="6">
        <v>32</v>
      </c>
      <c r="H71" s="6" t="s">
        <v>267</v>
      </c>
    </row>
    <row r="72" spans="1:8" ht="38" customHeight="1">
      <c r="A72" s="4" t="s">
        <v>290</v>
      </c>
      <c r="B72" s="4" t="s">
        <v>291</v>
      </c>
      <c r="C72" s="4" t="s">
        <v>264</v>
      </c>
      <c r="D72" s="4" t="s">
        <v>265</v>
      </c>
      <c r="E72" s="4" t="s">
        <v>78</v>
      </c>
      <c r="F72" s="4" t="s">
        <v>266</v>
      </c>
      <c r="G72" s="4">
        <v>33</v>
      </c>
      <c r="H72" s="4" t="s">
        <v>267</v>
      </c>
    </row>
    <row r="73" spans="1:8" ht="38" customHeight="1">
      <c r="A73" s="6" t="s">
        <v>292</v>
      </c>
      <c r="B73" s="6" t="s">
        <v>293</v>
      </c>
      <c r="C73" s="6" t="s">
        <v>264</v>
      </c>
      <c r="D73" s="6" t="s">
        <v>265</v>
      </c>
      <c r="E73" s="6" t="s">
        <v>78</v>
      </c>
      <c r="F73" s="6" t="s">
        <v>266</v>
      </c>
      <c r="G73" s="6">
        <v>34</v>
      </c>
      <c r="H73" s="6" t="s">
        <v>267</v>
      </c>
    </row>
    <row r="74" spans="1:8" ht="38" customHeight="1">
      <c r="A74" s="4" t="s">
        <v>294</v>
      </c>
      <c r="B74" s="4" t="s">
        <v>295</v>
      </c>
      <c r="C74" s="4" t="s">
        <v>264</v>
      </c>
      <c r="D74" s="4" t="s">
        <v>265</v>
      </c>
      <c r="E74" s="4" t="s">
        <v>78</v>
      </c>
      <c r="F74" s="4" t="s">
        <v>266</v>
      </c>
      <c r="G74" s="4">
        <v>36</v>
      </c>
      <c r="H74" s="4" t="s">
        <v>267</v>
      </c>
    </row>
    <row r="75" spans="1:8" ht="38" customHeight="1">
      <c r="A75" s="6" t="s">
        <v>296</v>
      </c>
      <c r="B75" s="6" t="s">
        <v>297</v>
      </c>
      <c r="C75" s="6" t="s">
        <v>264</v>
      </c>
      <c r="D75" s="6" t="s">
        <v>265</v>
      </c>
      <c r="E75" s="6" t="s">
        <v>78</v>
      </c>
      <c r="F75" s="6" t="s">
        <v>266</v>
      </c>
      <c r="G75" s="6">
        <v>38</v>
      </c>
      <c r="H75" s="6" t="s">
        <v>267</v>
      </c>
    </row>
    <row r="76" spans="1:8" ht="38" customHeight="1">
      <c r="A76" s="4" t="s">
        <v>298</v>
      </c>
      <c r="B76" s="4" t="s">
        <v>299</v>
      </c>
      <c r="C76" s="4" t="s">
        <v>264</v>
      </c>
      <c r="D76" s="4" t="s">
        <v>265</v>
      </c>
      <c r="E76" s="4" t="s">
        <v>78</v>
      </c>
      <c r="F76" s="4" t="s">
        <v>266</v>
      </c>
      <c r="G76" s="4">
        <v>39</v>
      </c>
      <c r="H76" s="4" t="s">
        <v>267</v>
      </c>
    </row>
    <row r="77" spans="1:8" ht="38" customHeight="1">
      <c r="A77" s="6" t="s">
        <v>300</v>
      </c>
      <c r="B77" s="6" t="s">
        <v>301</v>
      </c>
      <c r="C77" s="6" t="s">
        <v>264</v>
      </c>
      <c r="D77" s="6" t="s">
        <v>265</v>
      </c>
      <c r="E77" s="6" t="s">
        <v>78</v>
      </c>
      <c r="F77" s="6" t="s">
        <v>266</v>
      </c>
      <c r="G77" s="6">
        <v>42</v>
      </c>
      <c r="H77" s="6" t="s">
        <v>267</v>
      </c>
    </row>
    <row r="78" spans="1:8" ht="38" customHeight="1">
      <c r="A78" s="4" t="s">
        <v>302</v>
      </c>
      <c r="B78" s="4" t="s">
        <v>303</v>
      </c>
      <c r="C78" s="4" t="s">
        <v>264</v>
      </c>
      <c r="D78" s="4" t="s">
        <v>265</v>
      </c>
      <c r="E78" s="4" t="s">
        <v>78</v>
      </c>
      <c r="F78" s="4" t="s">
        <v>266</v>
      </c>
      <c r="G78" s="4">
        <v>43</v>
      </c>
      <c r="H78" s="4" t="s">
        <v>267</v>
      </c>
    </row>
    <row r="79" spans="1:8" ht="38" customHeight="1">
      <c r="A79" s="6" t="s">
        <v>304</v>
      </c>
      <c r="B79" s="6" t="s">
        <v>305</v>
      </c>
      <c r="C79" s="6" t="s">
        <v>264</v>
      </c>
      <c r="D79" s="6" t="s">
        <v>265</v>
      </c>
      <c r="E79" s="6" t="s">
        <v>78</v>
      </c>
      <c r="F79" s="6" t="s">
        <v>266</v>
      </c>
      <c r="G79" s="6">
        <v>45</v>
      </c>
      <c r="H79" s="6" t="s">
        <v>267</v>
      </c>
    </row>
    <row r="80" spans="1:8" ht="38" customHeight="1">
      <c r="A80" s="4" t="s">
        <v>306</v>
      </c>
      <c r="B80" s="4" t="s">
        <v>307</v>
      </c>
      <c r="C80" s="4" t="s">
        <v>264</v>
      </c>
      <c r="D80" s="4" t="s">
        <v>265</v>
      </c>
      <c r="E80" s="4" t="s">
        <v>78</v>
      </c>
      <c r="F80" s="4" t="s">
        <v>266</v>
      </c>
      <c r="G80" s="4">
        <v>46</v>
      </c>
      <c r="H80" s="4" t="s">
        <v>267</v>
      </c>
    </row>
    <row r="81" spans="1:8" ht="38" customHeight="1">
      <c r="A81" s="6" t="s">
        <v>308</v>
      </c>
      <c r="B81" s="6" t="s">
        <v>309</v>
      </c>
      <c r="C81" s="6" t="s">
        <v>264</v>
      </c>
      <c r="D81" s="6" t="s">
        <v>265</v>
      </c>
      <c r="E81" s="6" t="s">
        <v>78</v>
      </c>
      <c r="F81" s="6" t="s">
        <v>266</v>
      </c>
      <c r="G81" s="6">
        <v>47</v>
      </c>
      <c r="H81" s="6" t="s">
        <v>267</v>
      </c>
    </row>
    <row r="82" spans="1:8" ht="38" customHeight="1">
      <c r="A82" s="4" t="s">
        <v>310</v>
      </c>
      <c r="B82" s="4" t="s">
        <v>311</v>
      </c>
      <c r="C82" s="4" t="s">
        <v>264</v>
      </c>
      <c r="D82" s="4" t="s">
        <v>265</v>
      </c>
      <c r="E82" s="4" t="s">
        <v>78</v>
      </c>
      <c r="F82" s="4" t="s">
        <v>266</v>
      </c>
      <c r="G82" s="4">
        <v>48</v>
      </c>
      <c r="H82" s="4" t="s">
        <v>267</v>
      </c>
    </row>
    <row r="83" spans="1:8" ht="38" customHeight="1">
      <c r="A83" s="6" t="s">
        <v>312</v>
      </c>
      <c r="B83" s="6" t="s">
        <v>313</v>
      </c>
      <c r="C83" s="6" t="s">
        <v>264</v>
      </c>
      <c r="D83" s="6" t="s">
        <v>265</v>
      </c>
      <c r="E83" s="6" t="s">
        <v>78</v>
      </c>
      <c r="F83" s="6" t="s">
        <v>266</v>
      </c>
      <c r="G83" s="6">
        <v>49</v>
      </c>
      <c r="H83" s="6" t="s">
        <v>267</v>
      </c>
    </row>
    <row r="84" spans="1:8" ht="38" customHeight="1">
      <c r="A84" s="4" t="s">
        <v>314</v>
      </c>
      <c r="B84" s="4" t="s">
        <v>315</v>
      </c>
      <c r="C84" s="4" t="s">
        <v>264</v>
      </c>
      <c r="D84" s="4" t="s">
        <v>265</v>
      </c>
      <c r="E84" s="4" t="s">
        <v>78</v>
      </c>
      <c r="F84" s="4" t="s">
        <v>266</v>
      </c>
      <c r="G84" s="4">
        <v>50</v>
      </c>
      <c r="H84" s="4" t="s">
        <v>267</v>
      </c>
    </row>
    <row r="85" spans="1:8" ht="38" customHeight="1">
      <c r="A85" s="6" t="s">
        <v>316</v>
      </c>
      <c r="B85" s="6" t="s">
        <v>317</v>
      </c>
      <c r="C85" s="6" t="s">
        <v>264</v>
      </c>
      <c r="D85" s="6" t="s">
        <v>265</v>
      </c>
      <c r="E85" s="6" t="s">
        <v>69</v>
      </c>
      <c r="F85" s="6" t="s">
        <v>266</v>
      </c>
      <c r="G85" s="6">
        <v>53</v>
      </c>
      <c r="H85" s="6" t="s">
        <v>267</v>
      </c>
    </row>
    <row r="86" spans="1:8" ht="38" customHeight="1">
      <c r="A86" s="4" t="s">
        <v>318</v>
      </c>
      <c r="B86" s="4" t="s">
        <v>319</v>
      </c>
      <c r="C86" s="4" t="s">
        <v>264</v>
      </c>
      <c r="D86" s="4" t="s">
        <v>265</v>
      </c>
      <c r="E86" s="4" t="s">
        <v>69</v>
      </c>
      <c r="F86" s="4" t="s">
        <v>266</v>
      </c>
      <c r="G86" s="4">
        <v>55</v>
      </c>
      <c r="H86" s="4" t="s">
        <v>267</v>
      </c>
    </row>
    <row r="87" spans="1:8" ht="38" customHeight="1">
      <c r="A87" s="6" t="s">
        <v>320</v>
      </c>
      <c r="B87" s="6" t="s">
        <v>321</v>
      </c>
      <c r="C87" s="6" t="s">
        <v>264</v>
      </c>
      <c r="D87" s="6" t="s">
        <v>265</v>
      </c>
      <c r="E87" s="6" t="s">
        <v>69</v>
      </c>
      <c r="F87" s="6" t="s">
        <v>266</v>
      </c>
      <c r="G87" s="6">
        <v>56</v>
      </c>
      <c r="H87" s="6" t="s">
        <v>267</v>
      </c>
    </row>
    <row r="88" spans="1:8" ht="38" customHeight="1">
      <c r="A88" s="4" t="s">
        <v>322</v>
      </c>
      <c r="B88" s="4" t="s">
        <v>323</v>
      </c>
      <c r="C88" s="4" t="s">
        <v>264</v>
      </c>
      <c r="D88" s="4" t="s">
        <v>265</v>
      </c>
      <c r="E88" s="4" t="s">
        <v>69</v>
      </c>
      <c r="F88" s="4" t="s">
        <v>266</v>
      </c>
      <c r="G88" s="4">
        <v>57</v>
      </c>
      <c r="H88" s="4" t="s">
        <v>267</v>
      </c>
    </row>
    <row r="89" spans="1:8" ht="38" customHeight="1">
      <c r="A89" s="6" t="s">
        <v>324</v>
      </c>
      <c r="B89" s="6" t="s">
        <v>325</v>
      </c>
      <c r="C89" s="6" t="s">
        <v>264</v>
      </c>
      <c r="D89" s="6" t="s">
        <v>265</v>
      </c>
      <c r="E89" s="6" t="s">
        <v>96</v>
      </c>
      <c r="F89" s="6" t="s">
        <v>266</v>
      </c>
      <c r="G89" s="6">
        <v>61</v>
      </c>
      <c r="H89" s="6" t="s">
        <v>267</v>
      </c>
    </row>
    <row r="90" spans="1:8" ht="38" customHeight="1">
      <c r="A90" s="4" t="s">
        <v>326</v>
      </c>
      <c r="B90" s="4" t="s">
        <v>327</v>
      </c>
      <c r="C90" s="4" t="s">
        <v>264</v>
      </c>
      <c r="D90" s="4" t="s">
        <v>265</v>
      </c>
      <c r="E90" s="4" t="s">
        <v>96</v>
      </c>
      <c r="F90" s="4" t="s">
        <v>266</v>
      </c>
      <c r="G90" s="4">
        <v>62</v>
      </c>
      <c r="H90" s="4" t="s">
        <v>267</v>
      </c>
    </row>
    <row r="91" spans="1:8" ht="38" customHeight="1">
      <c r="A91" s="6" t="s">
        <v>328</v>
      </c>
      <c r="B91" s="6" t="s">
        <v>329</v>
      </c>
      <c r="C91" s="6" t="s">
        <v>264</v>
      </c>
      <c r="D91" s="6" t="s">
        <v>265</v>
      </c>
      <c r="E91" s="6" t="s">
        <v>122</v>
      </c>
      <c r="F91" s="6" t="s">
        <v>266</v>
      </c>
      <c r="G91" s="6">
        <v>65</v>
      </c>
      <c r="H91" s="6" t="s">
        <v>267</v>
      </c>
    </row>
    <row r="92" spans="1:8" ht="38" customHeight="1">
      <c r="A92" s="4" t="s">
        <v>330</v>
      </c>
      <c r="B92" s="4" t="s">
        <v>331</v>
      </c>
      <c r="C92" s="4" t="s">
        <v>264</v>
      </c>
      <c r="D92" s="4" t="s">
        <v>265</v>
      </c>
      <c r="E92" s="4" t="s">
        <v>122</v>
      </c>
      <c r="F92" s="4" t="s">
        <v>266</v>
      </c>
      <c r="G92" s="4">
        <v>66</v>
      </c>
      <c r="H92" s="4" t="s">
        <v>267</v>
      </c>
    </row>
    <row r="93" spans="1:8" ht="38" customHeight="1">
      <c r="A93" s="6" t="s">
        <v>332</v>
      </c>
      <c r="B93" s="6" t="s">
        <v>333</v>
      </c>
      <c r="C93" s="6" t="s">
        <v>264</v>
      </c>
      <c r="D93" s="6" t="s">
        <v>265</v>
      </c>
      <c r="E93" s="6" t="s">
        <v>122</v>
      </c>
      <c r="F93" s="6" t="s">
        <v>266</v>
      </c>
      <c r="G93" s="6">
        <v>68</v>
      </c>
      <c r="H93" s="6" t="s">
        <v>267</v>
      </c>
    </row>
    <row r="94" spans="1:8" ht="38" customHeight="1">
      <c r="A94" s="4" t="s">
        <v>334</v>
      </c>
      <c r="B94" s="4" t="s">
        <v>335</v>
      </c>
      <c r="C94" s="4" t="s">
        <v>264</v>
      </c>
      <c r="D94" s="4" t="s">
        <v>265</v>
      </c>
      <c r="E94" s="4" t="s">
        <v>122</v>
      </c>
      <c r="F94" s="4" t="s">
        <v>266</v>
      </c>
      <c r="G94" s="4">
        <v>69</v>
      </c>
      <c r="H94" s="4" t="s">
        <v>267</v>
      </c>
    </row>
    <row r="95" spans="1:8" ht="38" customHeight="1">
      <c r="A95" s="6" t="s">
        <v>336</v>
      </c>
      <c r="B95" s="6" t="s">
        <v>337</v>
      </c>
      <c r="C95" s="6" t="s">
        <v>264</v>
      </c>
      <c r="D95" s="6" t="s">
        <v>265</v>
      </c>
      <c r="E95" s="6" t="s">
        <v>122</v>
      </c>
      <c r="F95" s="6" t="s">
        <v>266</v>
      </c>
      <c r="G95" s="6">
        <v>70</v>
      </c>
      <c r="H95" s="6" t="s">
        <v>267</v>
      </c>
    </row>
    <row r="96" spans="1:8" ht="38" customHeight="1">
      <c r="A96" s="4" t="s">
        <v>338</v>
      </c>
      <c r="B96" s="4" t="s">
        <v>339</v>
      </c>
      <c r="C96" s="4" t="s">
        <v>264</v>
      </c>
      <c r="D96" s="4" t="s">
        <v>265</v>
      </c>
      <c r="E96" s="4" t="s">
        <v>122</v>
      </c>
      <c r="F96" s="4" t="s">
        <v>266</v>
      </c>
      <c r="G96" s="4">
        <v>71</v>
      </c>
      <c r="H96" s="4" t="s">
        <v>267</v>
      </c>
    </row>
    <row r="97" spans="1:8" ht="38" customHeight="1">
      <c r="A97" s="6" t="s">
        <v>340</v>
      </c>
      <c r="B97" s="6" t="s">
        <v>341</v>
      </c>
      <c r="C97" s="6" t="s">
        <v>264</v>
      </c>
      <c r="D97" s="6" t="s">
        <v>265</v>
      </c>
      <c r="E97" s="6" t="s">
        <v>122</v>
      </c>
      <c r="F97" s="6" t="s">
        <v>266</v>
      </c>
      <c r="G97" s="6">
        <v>72</v>
      </c>
      <c r="H97" s="6" t="s">
        <v>267</v>
      </c>
    </row>
    <row r="98" spans="1:8" ht="38" customHeight="1">
      <c r="A98" s="4" t="s">
        <v>342</v>
      </c>
      <c r="B98" s="4" t="s">
        <v>343</v>
      </c>
      <c r="C98" s="4" t="s">
        <v>264</v>
      </c>
      <c r="D98" s="4" t="s">
        <v>265</v>
      </c>
      <c r="E98" s="4" t="s">
        <v>122</v>
      </c>
      <c r="F98" s="4" t="s">
        <v>266</v>
      </c>
      <c r="G98" s="4">
        <v>73</v>
      </c>
      <c r="H98" s="4" t="s">
        <v>267</v>
      </c>
    </row>
    <row r="99" spans="1:8" ht="38" customHeight="1">
      <c r="A99" s="6" t="s">
        <v>344</v>
      </c>
      <c r="B99" s="6" t="s">
        <v>345</v>
      </c>
      <c r="C99" s="6" t="s">
        <v>264</v>
      </c>
      <c r="D99" s="6" t="s">
        <v>265</v>
      </c>
      <c r="E99" s="6" t="s">
        <v>122</v>
      </c>
      <c r="F99" s="6" t="s">
        <v>266</v>
      </c>
      <c r="G99" s="6">
        <v>74</v>
      </c>
      <c r="H99" s="6" t="s">
        <v>267</v>
      </c>
    </row>
    <row r="100" spans="1:8" ht="38" customHeight="1">
      <c r="A100" s="4" t="s">
        <v>346</v>
      </c>
      <c r="B100" s="4" t="s">
        <v>347</v>
      </c>
      <c r="C100" s="4" t="s">
        <v>264</v>
      </c>
      <c r="D100" s="4" t="s">
        <v>265</v>
      </c>
      <c r="E100" s="4" t="s">
        <v>122</v>
      </c>
      <c r="F100" s="4" t="s">
        <v>266</v>
      </c>
      <c r="G100" s="4">
        <v>75</v>
      </c>
      <c r="H100" s="4" t="s">
        <v>267</v>
      </c>
    </row>
    <row r="101" spans="1:8" ht="38" customHeight="1">
      <c r="A101" s="6" t="s">
        <v>348</v>
      </c>
      <c r="B101" s="6" t="s">
        <v>349</v>
      </c>
      <c r="C101" s="6" t="s">
        <v>264</v>
      </c>
      <c r="D101" s="6" t="s">
        <v>265</v>
      </c>
      <c r="E101" s="6" t="s">
        <v>122</v>
      </c>
      <c r="F101" s="6" t="s">
        <v>266</v>
      </c>
      <c r="G101" s="6">
        <v>76</v>
      </c>
      <c r="H101" s="6" t="s">
        <v>267</v>
      </c>
    </row>
    <row r="102" spans="1:8" ht="38" customHeight="1">
      <c r="A102" s="4" t="s">
        <v>350</v>
      </c>
      <c r="B102" s="4" t="s">
        <v>351</v>
      </c>
      <c r="C102" s="4" t="s">
        <v>264</v>
      </c>
      <c r="D102" s="4" t="s">
        <v>265</v>
      </c>
      <c r="E102" s="4" t="s">
        <v>242</v>
      </c>
      <c r="F102" s="4" t="s">
        <v>266</v>
      </c>
      <c r="G102" s="4">
        <v>77</v>
      </c>
      <c r="H102" s="4" t="s">
        <v>267</v>
      </c>
    </row>
    <row r="103" spans="1:8" ht="38" customHeight="1">
      <c r="A103" s="6" t="s">
        <v>352</v>
      </c>
      <c r="B103" s="6" t="s">
        <v>353</v>
      </c>
      <c r="C103" s="6" t="s">
        <v>354</v>
      </c>
      <c r="D103" s="6" t="s">
        <v>355</v>
      </c>
      <c r="E103" s="6" t="s">
        <v>150</v>
      </c>
      <c r="F103" s="6" t="s">
        <v>266</v>
      </c>
      <c r="G103" s="6">
        <v>78</v>
      </c>
      <c r="H103" s="6" t="s">
        <v>267</v>
      </c>
    </row>
    <row r="104" spans="1:8" ht="38" customHeight="1">
      <c r="A104" s="4" t="s">
        <v>356</v>
      </c>
      <c r="B104" s="4" t="s">
        <v>357</v>
      </c>
      <c r="C104" s="4" t="s">
        <v>264</v>
      </c>
      <c r="D104" s="4" t="s">
        <v>265</v>
      </c>
      <c r="E104" s="4" t="s">
        <v>150</v>
      </c>
      <c r="F104" s="4" t="s">
        <v>266</v>
      </c>
      <c r="G104" s="4">
        <v>80</v>
      </c>
      <c r="H104" s="4" t="s">
        <v>267</v>
      </c>
    </row>
    <row r="105" spans="1:8" ht="38" customHeight="1">
      <c r="A105" s="6" t="s">
        <v>358</v>
      </c>
      <c r="B105" s="6" t="s">
        <v>359</v>
      </c>
      <c r="C105" s="6" t="s">
        <v>264</v>
      </c>
      <c r="D105" s="6" t="s">
        <v>265</v>
      </c>
      <c r="E105" s="6" t="s">
        <v>150</v>
      </c>
      <c r="F105" s="6" t="s">
        <v>266</v>
      </c>
      <c r="G105" s="6">
        <v>81</v>
      </c>
      <c r="H105" s="6" t="s">
        <v>267</v>
      </c>
    </row>
    <row r="106" spans="1:8" ht="38" customHeight="1">
      <c r="A106" s="4" t="s">
        <v>360</v>
      </c>
      <c r="B106" s="4" t="s">
        <v>361</v>
      </c>
      <c r="C106" s="4" t="s">
        <v>264</v>
      </c>
      <c r="D106" s="4" t="s">
        <v>265</v>
      </c>
      <c r="E106" s="4" t="s">
        <v>150</v>
      </c>
      <c r="F106" s="4" t="s">
        <v>266</v>
      </c>
      <c r="G106" s="4">
        <v>82</v>
      </c>
      <c r="H106" s="4" t="s">
        <v>267</v>
      </c>
    </row>
    <row r="107" spans="1:8" ht="38" customHeight="1">
      <c r="A107" s="6" t="s">
        <v>362</v>
      </c>
      <c r="B107" s="6" t="s">
        <v>363</v>
      </c>
      <c r="C107" s="6" t="s">
        <v>264</v>
      </c>
      <c r="D107" s="6" t="s">
        <v>265</v>
      </c>
      <c r="E107" s="6" t="s">
        <v>364</v>
      </c>
      <c r="F107" s="6" t="s">
        <v>266</v>
      </c>
      <c r="G107" s="6">
        <v>84</v>
      </c>
      <c r="H107" s="6" t="s">
        <v>267</v>
      </c>
    </row>
    <row r="108" spans="1:8" ht="38" customHeight="1">
      <c r="A108" s="4" t="s">
        <v>365</v>
      </c>
      <c r="B108" s="4" t="s">
        <v>366</v>
      </c>
      <c r="C108" s="4" t="s">
        <v>264</v>
      </c>
      <c r="D108" s="4" t="s">
        <v>265</v>
      </c>
      <c r="E108" s="4" t="s">
        <v>219</v>
      </c>
      <c r="F108" s="4" t="s">
        <v>266</v>
      </c>
      <c r="G108" s="4">
        <v>86</v>
      </c>
      <c r="H108" s="4" t="s">
        <v>267</v>
      </c>
    </row>
    <row r="109" spans="1:8" ht="38" customHeight="1">
      <c r="A109" s="6" t="s">
        <v>367</v>
      </c>
      <c r="B109" s="6" t="s">
        <v>368</v>
      </c>
      <c r="C109" s="6" t="s">
        <v>264</v>
      </c>
      <c r="D109" s="6" t="s">
        <v>265</v>
      </c>
      <c r="E109" s="6" t="s">
        <v>219</v>
      </c>
      <c r="F109" s="6" t="s">
        <v>266</v>
      </c>
      <c r="G109" s="6">
        <v>87</v>
      </c>
      <c r="H109" s="6" t="s">
        <v>267</v>
      </c>
    </row>
    <row r="110" spans="1:8" ht="38" customHeight="1">
      <c r="A110" s="4" t="s">
        <v>369</v>
      </c>
      <c r="B110" s="4" t="s">
        <v>370</v>
      </c>
      <c r="C110" s="4" t="s">
        <v>264</v>
      </c>
      <c r="D110" s="4" t="s">
        <v>265</v>
      </c>
      <c r="E110" s="4" t="s">
        <v>219</v>
      </c>
      <c r="F110" s="4" t="s">
        <v>266</v>
      </c>
      <c r="G110" s="4">
        <v>88</v>
      </c>
      <c r="H110" s="4" t="s">
        <v>267</v>
      </c>
    </row>
    <row r="111" spans="1:8" ht="38" customHeight="1">
      <c r="A111" s="6" t="s">
        <v>371</v>
      </c>
      <c r="B111" s="6" t="s">
        <v>372</v>
      </c>
      <c r="C111" s="6" t="s">
        <v>264</v>
      </c>
      <c r="D111" s="6" t="s">
        <v>265</v>
      </c>
      <c r="E111" s="6" t="s">
        <v>219</v>
      </c>
      <c r="F111" s="6" t="s">
        <v>266</v>
      </c>
      <c r="G111" s="6">
        <v>89</v>
      </c>
      <c r="H111" s="6" t="s">
        <v>267</v>
      </c>
    </row>
    <row r="112" spans="1:8" ht="38" customHeight="1">
      <c r="A112" s="4" t="s">
        <v>373</v>
      </c>
      <c r="B112" s="4" t="s">
        <v>374</v>
      </c>
      <c r="C112" s="4" t="s">
        <v>264</v>
      </c>
      <c r="D112" s="4" t="s">
        <v>265</v>
      </c>
      <c r="E112" s="4" t="s">
        <v>74</v>
      </c>
      <c r="F112" s="4" t="s">
        <v>266</v>
      </c>
      <c r="G112" s="4">
        <v>90</v>
      </c>
      <c r="H112" s="4" t="s">
        <v>267</v>
      </c>
    </row>
    <row r="113" spans="1:8" ht="38" customHeight="1">
      <c r="A113" s="6" t="s">
        <v>375</v>
      </c>
      <c r="B113" s="6" t="s">
        <v>376</v>
      </c>
      <c r="C113" s="6" t="s">
        <v>264</v>
      </c>
      <c r="D113" s="6" t="s">
        <v>265</v>
      </c>
      <c r="E113" s="6" t="s">
        <v>74</v>
      </c>
      <c r="F113" s="6" t="s">
        <v>266</v>
      </c>
      <c r="G113" s="6">
        <v>93</v>
      </c>
      <c r="H113" s="6" t="s">
        <v>267</v>
      </c>
    </row>
    <row r="114" spans="1:8" ht="38" customHeight="1">
      <c r="A114" s="4" t="s">
        <v>377</v>
      </c>
      <c r="B114" s="4" t="s">
        <v>378</v>
      </c>
      <c r="C114" s="4" t="s">
        <v>264</v>
      </c>
      <c r="D114" s="4" t="s">
        <v>265</v>
      </c>
      <c r="E114" s="4" t="s">
        <v>74</v>
      </c>
      <c r="F114" s="4" t="s">
        <v>266</v>
      </c>
      <c r="G114" s="4">
        <v>94</v>
      </c>
      <c r="H114" s="4" t="s">
        <v>267</v>
      </c>
    </row>
    <row r="115" spans="1:8" ht="38" customHeight="1">
      <c r="A115" s="6" t="s">
        <v>379</v>
      </c>
      <c r="B115" s="6" t="s">
        <v>380</v>
      </c>
      <c r="C115" s="6" t="s">
        <v>264</v>
      </c>
      <c r="D115" s="6" t="s">
        <v>265</v>
      </c>
      <c r="E115" s="6" t="s">
        <v>74</v>
      </c>
      <c r="F115" s="6" t="s">
        <v>266</v>
      </c>
      <c r="G115" s="6">
        <v>95</v>
      </c>
      <c r="H115" s="6" t="s">
        <v>267</v>
      </c>
    </row>
    <row r="116" spans="1:8" ht="38" customHeight="1">
      <c r="A116" s="4" t="s">
        <v>381</v>
      </c>
      <c r="B116" s="4" t="s">
        <v>382</v>
      </c>
      <c r="C116" s="4" t="s">
        <v>264</v>
      </c>
      <c r="D116" s="4" t="s">
        <v>265</v>
      </c>
      <c r="E116" s="4" t="s">
        <v>383</v>
      </c>
      <c r="F116" s="4" t="s">
        <v>266</v>
      </c>
      <c r="G116" s="4">
        <v>96</v>
      </c>
      <c r="H116" s="4" t="s">
        <v>267</v>
      </c>
    </row>
    <row r="117" spans="1:8" ht="38" customHeight="1">
      <c r="A117" s="6" t="s">
        <v>384</v>
      </c>
      <c r="B117" s="6" t="s">
        <v>385</v>
      </c>
      <c r="C117" s="6" t="s">
        <v>264</v>
      </c>
      <c r="D117" s="6" t="s">
        <v>265</v>
      </c>
      <c r="E117" s="6" t="s">
        <v>130</v>
      </c>
      <c r="F117" s="6" t="s">
        <v>266</v>
      </c>
      <c r="G117" s="6">
        <v>98</v>
      </c>
      <c r="H117" s="6" t="s">
        <v>267</v>
      </c>
    </row>
    <row r="118" spans="1:8" ht="38" customHeight="1">
      <c r="A118" s="4" t="s">
        <v>386</v>
      </c>
      <c r="B118" s="4" t="s">
        <v>387</v>
      </c>
      <c r="C118" s="4" t="s">
        <v>264</v>
      </c>
      <c r="D118" s="4" t="s">
        <v>265</v>
      </c>
      <c r="E118" s="4" t="s">
        <v>130</v>
      </c>
      <c r="F118" s="4" t="s">
        <v>266</v>
      </c>
      <c r="G118" s="4">
        <v>99</v>
      </c>
      <c r="H118" s="4" t="s">
        <v>267</v>
      </c>
    </row>
    <row r="119" spans="1:8" ht="38" customHeight="1">
      <c r="A119" s="6" t="s">
        <v>388</v>
      </c>
      <c r="B119" s="6" t="s">
        <v>389</v>
      </c>
      <c r="C119" s="6" t="s">
        <v>354</v>
      </c>
      <c r="D119" s="6" t="s">
        <v>355</v>
      </c>
      <c r="E119" s="6" t="s">
        <v>390</v>
      </c>
      <c r="F119" s="6" t="s">
        <v>266</v>
      </c>
      <c r="G119" s="6">
        <v>100</v>
      </c>
      <c r="H119" s="6" t="s">
        <v>267</v>
      </c>
    </row>
    <row r="120" spans="1:8" ht="38" customHeight="1">
      <c r="A120" s="4" t="s">
        <v>391</v>
      </c>
      <c r="B120" s="4" t="s">
        <v>392</v>
      </c>
      <c r="C120" s="4" t="s">
        <v>264</v>
      </c>
      <c r="D120" s="4" t="s">
        <v>265</v>
      </c>
      <c r="E120" s="4" t="s">
        <v>393</v>
      </c>
      <c r="F120" s="4" t="s">
        <v>266</v>
      </c>
      <c r="G120" s="4">
        <v>101</v>
      </c>
      <c r="H120" s="4" t="s">
        <v>267</v>
      </c>
    </row>
    <row r="121" spans="1:8" ht="38" customHeight="1">
      <c r="A121" s="6" t="s">
        <v>394</v>
      </c>
      <c r="B121" s="6" t="s">
        <v>395</v>
      </c>
      <c r="C121" s="6" t="s">
        <v>264</v>
      </c>
      <c r="D121" s="6" t="s">
        <v>265</v>
      </c>
      <c r="E121" s="6" t="s">
        <v>396</v>
      </c>
      <c r="F121" s="6" t="s">
        <v>266</v>
      </c>
      <c r="G121" s="6">
        <v>102</v>
      </c>
      <c r="H121" s="6" t="s">
        <v>267</v>
      </c>
    </row>
    <row r="122" spans="1:8" ht="38" customHeight="1">
      <c r="A122" s="4" t="s">
        <v>397</v>
      </c>
      <c r="B122" s="4" t="s">
        <v>398</v>
      </c>
      <c r="C122" s="4" t="s">
        <v>264</v>
      </c>
      <c r="D122" s="4" t="s">
        <v>265</v>
      </c>
      <c r="E122" s="4" t="s">
        <v>396</v>
      </c>
      <c r="F122" s="4" t="s">
        <v>266</v>
      </c>
      <c r="G122" s="4">
        <v>103</v>
      </c>
      <c r="H122" s="4" t="s">
        <v>267</v>
      </c>
    </row>
    <row r="123" spans="1:8" ht="30" customHeight="1">
      <c r="A123" s="6" t="s">
        <v>399</v>
      </c>
      <c r="B123" s="6" t="s">
        <v>400</v>
      </c>
      <c r="C123" s="6" t="s">
        <v>154</v>
      </c>
      <c r="D123" s="6" t="s">
        <v>355</v>
      </c>
      <c r="E123" s="6" t="s">
        <v>122</v>
      </c>
      <c r="F123" s="6" t="s">
        <v>401</v>
      </c>
      <c r="G123" s="6"/>
      <c r="H123" s="6" t="s">
        <v>402</v>
      </c>
    </row>
    <row r="124" spans="1:8" ht="30" customHeight="1">
      <c r="A124" s="4" t="s">
        <v>403</v>
      </c>
      <c r="B124" s="4" t="s">
        <v>404</v>
      </c>
      <c r="C124" s="4" t="s">
        <v>405</v>
      </c>
      <c r="D124" s="4" t="s">
        <v>406</v>
      </c>
      <c r="E124" s="4" t="s">
        <v>407</v>
      </c>
      <c r="F124" s="4" t="s">
        <v>408</v>
      </c>
      <c r="G124" s="4"/>
      <c r="H124" s="4" t="s">
        <v>409</v>
      </c>
    </row>
    <row r="125" spans="1:8" ht="38" customHeight="1">
      <c r="A125" s="6" t="s">
        <v>410</v>
      </c>
      <c r="B125" s="6" t="s">
        <v>411</v>
      </c>
      <c r="C125" s="6" t="s">
        <v>412</v>
      </c>
      <c r="D125" s="6" t="s">
        <v>406</v>
      </c>
      <c r="E125" s="6" t="s">
        <v>407</v>
      </c>
      <c r="F125" s="6" t="s">
        <v>408</v>
      </c>
      <c r="G125" s="6"/>
      <c r="H125" s="6" t="s">
        <v>413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5"/>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11" customWidth="1"/>
    <col min="2" max="2" width="34" customWidth="1"/>
    <col min="3" max="3" width="22" customWidth="1"/>
    <col min="4" max="5" width="20" customWidth="1"/>
    <col min="6" max="6" width="16" customWidth="1"/>
    <col min="7" max="7" width="45" customWidth="1"/>
    <col min="8" max="8" width="82" customWidth="1"/>
    <col min="9" max="9" width="29" customWidth="1"/>
  </cols>
  <sheetData>
    <row r="1" spans="1:9">
      <c r="A1" s="1"/>
      <c r="B1" s="1"/>
      <c r="C1" s="1"/>
      <c r="D1" s="1"/>
      <c r="E1" s="1"/>
      <c r="F1" s="1"/>
      <c r="G1" s="1"/>
      <c r="H1" s="1"/>
      <c r="I1" s="1"/>
    </row>
    <row r="2" spans="1:9" ht="18">
      <c r="A2" s="2" t="s">
        <v>414</v>
      </c>
      <c r="B2" s="1"/>
      <c r="C2" s="1"/>
      <c r="D2" s="1"/>
      <c r="E2" s="1"/>
      <c r="F2" s="1"/>
      <c r="G2" s="1"/>
      <c r="H2" s="1"/>
      <c r="I2" s="1"/>
    </row>
    <row r="3" spans="1:9" ht="26" customHeight="1">
      <c r="A3" s="3" t="s">
        <v>415</v>
      </c>
      <c r="B3" s="1"/>
      <c r="C3" s="1"/>
      <c r="D3" s="1"/>
      <c r="E3" s="1"/>
      <c r="F3" s="1"/>
      <c r="G3" s="1"/>
      <c r="H3" s="1"/>
      <c r="I3" s="1"/>
    </row>
    <row r="4" spans="1:9">
      <c r="A4" s="1"/>
      <c r="B4" s="1"/>
      <c r="C4" s="1"/>
      <c r="D4" s="1"/>
      <c r="E4" s="1"/>
      <c r="F4" s="1"/>
      <c r="G4" s="1"/>
      <c r="H4" s="1"/>
      <c r="I4" s="1"/>
    </row>
    <row r="5" spans="1:9" ht="34" customHeight="1">
      <c r="A5" s="5" t="s">
        <v>59</v>
      </c>
      <c r="B5" s="5" t="s">
        <v>2</v>
      </c>
      <c r="C5" s="5" t="s">
        <v>416</v>
      </c>
      <c r="D5" s="5" t="s">
        <v>417</v>
      </c>
      <c r="E5" s="5" t="s">
        <v>418</v>
      </c>
      <c r="F5" s="5" t="s">
        <v>419</v>
      </c>
      <c r="G5" s="5" t="s">
        <v>420</v>
      </c>
      <c r="H5" s="5" t="s">
        <v>421</v>
      </c>
      <c r="I5" s="5" t="s">
        <v>65</v>
      </c>
    </row>
    <row r="6" spans="1:9" ht="38" customHeight="1">
      <c r="A6" s="4" t="s">
        <v>66</v>
      </c>
      <c r="B6" s="4" t="s">
        <v>32</v>
      </c>
      <c r="C6" s="11">
        <f>SUMIF('Funding events'!$A$6:$A$37,B6,'Funding events'!$D$6:$D$37)</f>
        <v>10.32</v>
      </c>
      <c r="D6" s="13">
        <v>2</v>
      </c>
      <c r="E6" s="4" t="s">
        <v>422</v>
      </c>
      <c r="F6" s="4" t="s">
        <v>423</v>
      </c>
      <c r="G6" s="4" t="s">
        <v>424</v>
      </c>
      <c r="H6" s="4" t="s">
        <v>425</v>
      </c>
      <c r="I6" s="4" t="s">
        <v>71</v>
      </c>
    </row>
    <row r="7" spans="1:9" ht="38" customHeight="1">
      <c r="A7" s="6" t="s">
        <v>72</v>
      </c>
      <c r="B7" s="6" t="s">
        <v>11</v>
      </c>
      <c r="C7" s="12">
        <f>SUMIF('Funding events'!$A$6:$A$37,B7,'Funding events'!$D$6:$D$37)</f>
        <v>10</v>
      </c>
      <c r="D7" s="14">
        <v>1</v>
      </c>
      <c r="E7" s="17">
        <v>46071</v>
      </c>
      <c r="F7" s="6" t="s">
        <v>426</v>
      </c>
      <c r="G7" s="6" t="s">
        <v>427</v>
      </c>
      <c r="H7" s="6" t="s">
        <v>428</v>
      </c>
      <c r="I7" s="6" t="s">
        <v>75</v>
      </c>
    </row>
    <row r="8" spans="1:9" ht="38" customHeight="1">
      <c r="A8" s="4" t="s">
        <v>76</v>
      </c>
      <c r="B8" s="4" t="s">
        <v>25</v>
      </c>
      <c r="C8" s="11">
        <f>SUMIF('Funding events'!$A$6:$A$37,B8,'Funding events'!$D$6:$D$37)</f>
        <v>6</v>
      </c>
      <c r="D8" s="13">
        <v>1</v>
      </c>
      <c r="E8" s="4" t="s">
        <v>429</v>
      </c>
      <c r="F8" s="4" t="s">
        <v>430</v>
      </c>
      <c r="G8" s="4" t="s">
        <v>431</v>
      </c>
      <c r="H8" s="4" t="s">
        <v>432</v>
      </c>
      <c r="I8" s="4" t="s">
        <v>79</v>
      </c>
    </row>
    <row r="9" spans="1:9" ht="38" customHeight="1">
      <c r="A9" s="6" t="s">
        <v>80</v>
      </c>
      <c r="B9" s="6" t="s">
        <v>18</v>
      </c>
      <c r="C9" s="12">
        <f>SUMIF('Funding events'!$A$6:$A$37,B9,'Funding events'!$D$6:$D$37)</f>
        <v>3</v>
      </c>
      <c r="D9" s="14">
        <v>1</v>
      </c>
      <c r="E9" s="6" t="s">
        <v>433</v>
      </c>
      <c r="F9" s="6" t="s">
        <v>423</v>
      </c>
      <c r="G9" s="6" t="s">
        <v>434</v>
      </c>
      <c r="H9" s="6" t="s">
        <v>435</v>
      </c>
      <c r="I9" s="6" t="s">
        <v>82</v>
      </c>
    </row>
    <row r="10" spans="1:9" ht="38" customHeight="1">
      <c r="A10" s="4" t="s">
        <v>83</v>
      </c>
      <c r="B10" s="4" t="s">
        <v>39</v>
      </c>
      <c r="C10" s="11">
        <f>SUMIF('Funding events'!$A$6:$A$37,B10,'Funding events'!$D$6:$D$37)</f>
        <v>6</v>
      </c>
      <c r="D10" s="13">
        <v>1</v>
      </c>
      <c r="E10" s="18">
        <v>45951</v>
      </c>
      <c r="F10" s="4" t="s">
        <v>426</v>
      </c>
      <c r="G10" s="4" t="s">
        <v>436</v>
      </c>
      <c r="H10" s="4" t="s">
        <v>437</v>
      </c>
      <c r="I10" s="4" t="s">
        <v>85</v>
      </c>
    </row>
    <row r="11" spans="1:9" ht="38" customHeight="1">
      <c r="A11" s="6" t="s">
        <v>86</v>
      </c>
      <c r="B11" s="6" t="s">
        <v>87</v>
      </c>
      <c r="C11" s="12">
        <f>SUMIF('Funding events'!$A$6:$A$37,B11,'Funding events'!$D$6:$D$37)</f>
        <v>20.7</v>
      </c>
      <c r="D11" s="14">
        <v>2</v>
      </c>
      <c r="E11" s="17">
        <v>46169</v>
      </c>
      <c r="F11" s="6" t="s">
        <v>426</v>
      </c>
      <c r="G11" s="6" t="s">
        <v>438</v>
      </c>
      <c r="H11" s="6" t="s">
        <v>439</v>
      </c>
      <c r="I11" s="6" t="s">
        <v>89</v>
      </c>
    </row>
    <row r="12" spans="1:9" ht="51" customHeight="1">
      <c r="A12" s="4" t="s">
        <v>90</v>
      </c>
      <c r="B12" s="4" t="s">
        <v>91</v>
      </c>
      <c r="C12" s="11">
        <f>SUMIF('Funding events'!$A$6:$A$37,B12,'Funding events'!$D$6:$D$37)</f>
        <v>7.4</v>
      </c>
      <c r="D12" s="13">
        <v>3</v>
      </c>
      <c r="E12" s="4" t="s">
        <v>440</v>
      </c>
      <c r="F12" s="4" t="s">
        <v>423</v>
      </c>
      <c r="G12" s="4" t="s">
        <v>441</v>
      </c>
      <c r="H12" s="4" t="s">
        <v>442</v>
      </c>
      <c r="I12" s="4" t="s">
        <v>93</v>
      </c>
    </row>
    <row r="13" spans="1:9" ht="51" customHeight="1">
      <c r="A13" s="6" t="s">
        <v>94</v>
      </c>
      <c r="B13" s="6" t="s">
        <v>95</v>
      </c>
      <c r="C13" s="12">
        <v>14.6</v>
      </c>
      <c r="D13" s="14">
        <v>3</v>
      </c>
      <c r="E13" s="17">
        <v>45862</v>
      </c>
      <c r="F13" s="6" t="s">
        <v>426</v>
      </c>
      <c r="G13" s="6" t="s">
        <v>443</v>
      </c>
      <c r="H13" s="6" t="s">
        <v>444</v>
      </c>
      <c r="I13" s="6" t="s">
        <v>97</v>
      </c>
    </row>
    <row r="14" spans="1:9" ht="30" customHeight="1">
      <c r="A14" s="4" t="s">
        <v>98</v>
      </c>
      <c r="B14" s="4" t="s">
        <v>99</v>
      </c>
      <c r="C14" s="11">
        <f>SUMIF('Funding events'!$A$6:$A$37,B14,'Funding events'!$D$6:$D$37)</f>
        <v>9</v>
      </c>
      <c r="D14" s="13">
        <v>2</v>
      </c>
      <c r="E14" s="18">
        <v>46148</v>
      </c>
      <c r="F14" s="4" t="s">
        <v>426</v>
      </c>
      <c r="G14" s="4" t="s">
        <v>445</v>
      </c>
      <c r="H14" s="4" t="s">
        <v>446</v>
      </c>
      <c r="I14" s="4" t="s">
        <v>100</v>
      </c>
    </row>
    <row r="15" spans="1:9" ht="51" customHeight="1">
      <c r="A15" s="6" t="s">
        <v>101</v>
      </c>
      <c r="B15" s="6" t="s">
        <v>102</v>
      </c>
      <c r="C15" s="12">
        <v>14.22</v>
      </c>
      <c r="D15" s="14">
        <v>4</v>
      </c>
      <c r="E15" s="17">
        <v>46139</v>
      </c>
      <c r="F15" s="6" t="s">
        <v>426</v>
      </c>
      <c r="G15" s="6" t="s">
        <v>447</v>
      </c>
      <c r="H15" s="6" t="s">
        <v>448</v>
      </c>
      <c r="I15" s="6" t="s">
        <v>104</v>
      </c>
    </row>
    <row r="16" spans="1:9" ht="51" customHeight="1">
      <c r="A16" s="4" t="s">
        <v>105</v>
      </c>
      <c r="B16" s="4" t="s">
        <v>106</v>
      </c>
      <c r="C16" s="11">
        <v>2.67</v>
      </c>
      <c r="D16" s="13">
        <v>3</v>
      </c>
      <c r="E16" s="18">
        <v>45754</v>
      </c>
      <c r="F16" s="4" t="s">
        <v>426</v>
      </c>
      <c r="G16" s="4" t="s">
        <v>449</v>
      </c>
      <c r="H16" s="4" t="s">
        <v>450</v>
      </c>
      <c r="I16" s="4" t="s">
        <v>107</v>
      </c>
    </row>
    <row r="17" spans="1:9" ht="38" customHeight="1">
      <c r="A17" s="6" t="s">
        <v>108</v>
      </c>
      <c r="B17" s="6" t="s">
        <v>109</v>
      </c>
      <c r="C17" s="12">
        <v>13</v>
      </c>
      <c r="D17" s="14">
        <v>1</v>
      </c>
      <c r="E17" s="17">
        <v>46154</v>
      </c>
      <c r="F17" s="6" t="s">
        <v>426</v>
      </c>
      <c r="G17" s="6" t="s">
        <v>451</v>
      </c>
      <c r="H17" s="6" t="s">
        <v>452</v>
      </c>
      <c r="I17" s="6" t="s">
        <v>110</v>
      </c>
    </row>
    <row r="18" spans="1:9" ht="38" customHeight="1">
      <c r="A18" s="4" t="s">
        <v>111</v>
      </c>
      <c r="B18" s="4" t="s">
        <v>112</v>
      </c>
      <c r="C18" s="11">
        <v>8</v>
      </c>
      <c r="D18" s="13">
        <v>1</v>
      </c>
      <c r="E18" s="18">
        <v>46050</v>
      </c>
      <c r="F18" s="4" t="s">
        <v>426</v>
      </c>
      <c r="G18" s="4" t="s">
        <v>453</v>
      </c>
      <c r="H18" s="4" t="s">
        <v>454</v>
      </c>
      <c r="I18" s="4" t="s">
        <v>113</v>
      </c>
    </row>
    <row r="19" spans="1:9" ht="38" customHeight="1">
      <c r="A19" s="6" t="s">
        <v>114</v>
      </c>
      <c r="B19" s="6" t="s">
        <v>115</v>
      </c>
      <c r="C19" s="12">
        <v>2.7</v>
      </c>
      <c r="D19" s="14">
        <v>1</v>
      </c>
      <c r="E19" s="17">
        <v>46044</v>
      </c>
      <c r="F19" s="6" t="s">
        <v>426</v>
      </c>
      <c r="G19" s="6" t="s">
        <v>455</v>
      </c>
      <c r="H19" s="6" t="s">
        <v>456</v>
      </c>
      <c r="I19" s="6" t="s">
        <v>116</v>
      </c>
    </row>
    <row r="20" spans="1:9" ht="51" customHeight="1">
      <c r="A20" s="4" t="s">
        <v>117</v>
      </c>
      <c r="B20" s="4" t="s">
        <v>118</v>
      </c>
      <c r="C20" s="11"/>
      <c r="D20" s="13"/>
      <c r="E20" s="4" t="s">
        <v>457</v>
      </c>
      <c r="F20" s="4" t="s">
        <v>430</v>
      </c>
      <c r="G20" s="4" t="s">
        <v>458</v>
      </c>
      <c r="H20" s="4" t="s">
        <v>459</v>
      </c>
      <c r="I20" s="4" t="s">
        <v>119</v>
      </c>
    </row>
    <row r="21" spans="1:9" ht="38" customHeight="1">
      <c r="A21" s="6" t="s">
        <v>120</v>
      </c>
      <c r="B21" s="6" t="s">
        <v>121</v>
      </c>
      <c r="C21" s="12"/>
      <c r="D21" s="14"/>
      <c r="E21" s="6"/>
      <c r="F21" s="6" t="s">
        <v>460</v>
      </c>
      <c r="G21" s="6" t="s">
        <v>461</v>
      </c>
      <c r="H21" s="6" t="s">
        <v>462</v>
      </c>
      <c r="I21" s="6" t="s">
        <v>123</v>
      </c>
    </row>
    <row r="22" spans="1:9" ht="38" customHeight="1">
      <c r="A22" s="4" t="s">
        <v>124</v>
      </c>
      <c r="B22" s="4" t="s">
        <v>125</v>
      </c>
      <c r="C22" s="11"/>
      <c r="D22" s="13"/>
      <c r="E22" s="4"/>
      <c r="F22" s="4" t="s">
        <v>460</v>
      </c>
      <c r="G22" s="4" t="s">
        <v>461</v>
      </c>
      <c r="H22" s="4" t="s">
        <v>462</v>
      </c>
      <c r="I22" s="4" t="s">
        <v>126</v>
      </c>
    </row>
    <row r="23" spans="1:9" ht="51" customHeight="1">
      <c r="A23" s="6" t="s">
        <v>127</v>
      </c>
      <c r="B23" s="6" t="s">
        <v>128</v>
      </c>
      <c r="C23" s="12">
        <v>0.11</v>
      </c>
      <c r="D23" s="14">
        <v>1</v>
      </c>
      <c r="E23" s="17">
        <v>44061</v>
      </c>
      <c r="F23" s="6" t="s">
        <v>426</v>
      </c>
      <c r="G23" s="6" t="s">
        <v>463</v>
      </c>
      <c r="H23" s="6" t="s">
        <v>464</v>
      </c>
      <c r="I23" s="6" t="s">
        <v>131</v>
      </c>
    </row>
    <row r="24" spans="1:9" ht="38" customHeight="1">
      <c r="A24" s="4" t="s">
        <v>132</v>
      </c>
      <c r="B24" s="4" t="s">
        <v>133</v>
      </c>
      <c r="C24" s="11"/>
      <c r="D24" s="13"/>
      <c r="E24" s="4"/>
      <c r="F24" s="4" t="s">
        <v>460</v>
      </c>
      <c r="G24" s="4" t="s">
        <v>461</v>
      </c>
      <c r="H24" s="4" t="s">
        <v>462</v>
      </c>
      <c r="I24" s="4" t="s">
        <v>134</v>
      </c>
    </row>
    <row r="25" spans="1:9" ht="38" customHeight="1">
      <c r="A25" s="6" t="s">
        <v>135</v>
      </c>
      <c r="B25" s="6" t="s">
        <v>136</v>
      </c>
      <c r="C25" s="12"/>
      <c r="D25" s="14"/>
      <c r="E25" s="6"/>
      <c r="F25" s="6" t="s">
        <v>460</v>
      </c>
      <c r="G25" s="6" t="s">
        <v>461</v>
      </c>
      <c r="H25" s="6" t="s">
        <v>462</v>
      </c>
      <c r="I25" s="6" t="s">
        <v>137</v>
      </c>
    </row>
    <row r="26" spans="1:9" ht="38" customHeight="1">
      <c r="A26" s="4" t="s">
        <v>138</v>
      </c>
      <c r="B26" s="4" t="s">
        <v>139</v>
      </c>
      <c r="C26" s="11">
        <v>2</v>
      </c>
      <c r="D26" s="13">
        <v>1</v>
      </c>
      <c r="E26" s="18">
        <v>45982</v>
      </c>
      <c r="F26" s="4" t="s">
        <v>426</v>
      </c>
      <c r="G26" s="4" t="s">
        <v>465</v>
      </c>
      <c r="H26" s="4" t="s">
        <v>466</v>
      </c>
      <c r="I26" s="4" t="s">
        <v>140</v>
      </c>
    </row>
    <row r="27" spans="1:9" ht="38" customHeight="1">
      <c r="A27" s="6" t="s">
        <v>141</v>
      </c>
      <c r="B27" s="6" t="s">
        <v>142</v>
      </c>
      <c r="C27" s="12"/>
      <c r="D27" s="14"/>
      <c r="E27" s="6"/>
      <c r="F27" s="6" t="s">
        <v>460</v>
      </c>
      <c r="G27" s="6" t="s">
        <v>467</v>
      </c>
      <c r="H27" s="6" t="s">
        <v>468</v>
      </c>
      <c r="I27" s="6" t="s">
        <v>143</v>
      </c>
    </row>
    <row r="28" spans="1:9" ht="38" customHeight="1">
      <c r="A28" s="4" t="s">
        <v>144</v>
      </c>
      <c r="B28" s="4" t="s">
        <v>145</v>
      </c>
      <c r="C28" s="11"/>
      <c r="D28" s="13"/>
      <c r="E28" s="4"/>
      <c r="F28" s="4" t="s">
        <v>460</v>
      </c>
      <c r="G28" s="4" t="s">
        <v>461</v>
      </c>
      <c r="H28" s="4" t="s">
        <v>462</v>
      </c>
      <c r="I28" s="4" t="s">
        <v>147</v>
      </c>
    </row>
    <row r="29" spans="1:9" ht="38" customHeight="1">
      <c r="A29" s="6" t="s">
        <v>148</v>
      </c>
      <c r="B29" s="6" t="s">
        <v>149</v>
      </c>
      <c r="C29" s="12"/>
      <c r="D29" s="14"/>
      <c r="E29" s="6"/>
      <c r="F29" s="6" t="s">
        <v>460</v>
      </c>
      <c r="G29" s="6" t="s">
        <v>469</v>
      </c>
      <c r="H29" s="6" t="s">
        <v>470</v>
      </c>
      <c r="I29" s="6" t="s">
        <v>151</v>
      </c>
    </row>
    <row r="30" spans="1:9" ht="38" customHeight="1">
      <c r="A30" s="4" t="s">
        <v>152</v>
      </c>
      <c r="B30" s="4" t="s">
        <v>153</v>
      </c>
      <c r="C30" s="11"/>
      <c r="D30" s="13"/>
      <c r="E30" s="4"/>
      <c r="F30" s="4" t="s">
        <v>460</v>
      </c>
      <c r="G30" s="4" t="s">
        <v>461</v>
      </c>
      <c r="H30" s="4" t="s">
        <v>462</v>
      </c>
      <c r="I30" s="4" t="s">
        <v>156</v>
      </c>
    </row>
    <row r="31" spans="1:9" ht="38" customHeight="1">
      <c r="A31" s="6" t="s">
        <v>157</v>
      </c>
      <c r="B31" s="6" t="s">
        <v>158</v>
      </c>
      <c r="C31" s="12">
        <v>1</v>
      </c>
      <c r="D31" s="14"/>
      <c r="E31" s="6"/>
      <c r="F31" s="6" t="s">
        <v>460</v>
      </c>
      <c r="G31" s="6" t="s">
        <v>471</v>
      </c>
      <c r="H31" s="6" t="s">
        <v>472</v>
      </c>
      <c r="I31" s="6" t="s">
        <v>159</v>
      </c>
    </row>
    <row r="32" spans="1:9" ht="38" customHeight="1">
      <c r="A32" s="4" t="s">
        <v>160</v>
      </c>
      <c r="B32" s="4" t="s">
        <v>161</v>
      </c>
      <c r="C32" s="11"/>
      <c r="D32" s="13"/>
      <c r="E32" s="4"/>
      <c r="F32" s="4" t="s">
        <v>460</v>
      </c>
      <c r="G32" s="4" t="s">
        <v>461</v>
      </c>
      <c r="H32" s="4" t="s">
        <v>462</v>
      </c>
      <c r="I32" s="4" t="s">
        <v>162</v>
      </c>
    </row>
    <row r="33" spans="1:9" ht="38" customHeight="1">
      <c r="A33" s="6" t="s">
        <v>163</v>
      </c>
      <c r="B33" s="6" t="s">
        <v>164</v>
      </c>
      <c r="C33" s="12"/>
      <c r="D33" s="14">
        <v>1</v>
      </c>
      <c r="E33" s="6" t="s">
        <v>473</v>
      </c>
      <c r="F33" s="6" t="s">
        <v>430</v>
      </c>
      <c r="G33" s="6" t="s">
        <v>474</v>
      </c>
      <c r="H33" s="6" t="s">
        <v>475</v>
      </c>
      <c r="I33" s="6" t="s">
        <v>165</v>
      </c>
    </row>
    <row r="34" spans="1:9" ht="38" customHeight="1">
      <c r="A34" s="4" t="s">
        <v>166</v>
      </c>
      <c r="B34" s="4" t="s">
        <v>167</v>
      </c>
      <c r="C34" s="11">
        <v>4</v>
      </c>
      <c r="D34" s="13"/>
      <c r="E34" s="4" t="s">
        <v>476</v>
      </c>
      <c r="F34" s="4" t="s">
        <v>423</v>
      </c>
      <c r="G34" s="4" t="s">
        <v>477</v>
      </c>
      <c r="H34" s="4" t="s">
        <v>478</v>
      </c>
      <c r="I34" s="4" t="s">
        <v>168</v>
      </c>
    </row>
    <row r="35" spans="1:9" ht="38" customHeight="1">
      <c r="A35" s="6" t="s">
        <v>169</v>
      </c>
      <c r="B35" s="6" t="s">
        <v>170</v>
      </c>
      <c r="C35" s="12"/>
      <c r="D35" s="14">
        <v>3</v>
      </c>
      <c r="E35" s="17">
        <v>45274</v>
      </c>
      <c r="F35" s="6" t="s">
        <v>426</v>
      </c>
      <c r="G35" s="6" t="s">
        <v>479</v>
      </c>
      <c r="H35" s="6" t="s">
        <v>480</v>
      </c>
      <c r="I35" s="6" t="s">
        <v>171</v>
      </c>
    </row>
    <row r="36" spans="1:9" ht="38" customHeight="1">
      <c r="A36" s="4" t="s">
        <v>172</v>
      </c>
      <c r="B36" s="4" t="s">
        <v>173</v>
      </c>
      <c r="C36" s="11">
        <v>3</v>
      </c>
      <c r="D36" s="13"/>
      <c r="E36" s="4"/>
      <c r="F36" s="4" t="s">
        <v>460</v>
      </c>
      <c r="G36" s="4" t="s">
        <v>481</v>
      </c>
      <c r="H36" s="4" t="s">
        <v>482</v>
      </c>
      <c r="I36" s="4" t="s">
        <v>174</v>
      </c>
    </row>
    <row r="37" spans="1:9" ht="38" customHeight="1">
      <c r="A37" s="6" t="s">
        <v>175</v>
      </c>
      <c r="B37" s="6" t="s">
        <v>176</v>
      </c>
      <c r="C37" s="12"/>
      <c r="D37" s="14"/>
      <c r="E37" s="6"/>
      <c r="F37" s="6" t="s">
        <v>460</v>
      </c>
      <c r="G37" s="6" t="s">
        <v>461</v>
      </c>
      <c r="H37" s="6" t="s">
        <v>462</v>
      </c>
      <c r="I37" s="6" t="s">
        <v>177</v>
      </c>
    </row>
    <row r="38" spans="1:9" ht="38" customHeight="1">
      <c r="A38" s="4" t="s">
        <v>178</v>
      </c>
      <c r="B38" s="4" t="s">
        <v>179</v>
      </c>
      <c r="C38" s="11">
        <v>1.8</v>
      </c>
      <c r="D38" s="13">
        <v>1</v>
      </c>
      <c r="E38" s="18">
        <v>46077</v>
      </c>
      <c r="F38" s="4" t="s">
        <v>426</v>
      </c>
      <c r="G38" s="4" t="s">
        <v>483</v>
      </c>
      <c r="H38" s="4" t="s">
        <v>484</v>
      </c>
      <c r="I38" s="4" t="s">
        <v>181</v>
      </c>
    </row>
    <row r="39" spans="1:9" ht="30" customHeight="1">
      <c r="A39" s="6" t="s">
        <v>182</v>
      </c>
      <c r="B39" s="6" t="s">
        <v>183</v>
      </c>
      <c r="C39" s="12">
        <v>2.2999999999999998</v>
      </c>
      <c r="D39" s="14">
        <v>1</v>
      </c>
      <c r="E39" s="17">
        <v>45840</v>
      </c>
      <c r="F39" s="6" t="s">
        <v>426</v>
      </c>
      <c r="G39" s="6" t="s">
        <v>485</v>
      </c>
      <c r="H39" s="6" t="s">
        <v>486</v>
      </c>
      <c r="I39" s="6" t="s">
        <v>185</v>
      </c>
    </row>
    <row r="40" spans="1:9" ht="38" customHeight="1">
      <c r="A40" s="4" t="s">
        <v>186</v>
      </c>
      <c r="B40" s="4" t="s">
        <v>187</v>
      </c>
      <c r="C40" s="11"/>
      <c r="D40" s="13"/>
      <c r="E40" s="4"/>
      <c r="F40" s="4" t="s">
        <v>460</v>
      </c>
      <c r="G40" s="4" t="s">
        <v>461</v>
      </c>
      <c r="H40" s="4" t="s">
        <v>462</v>
      </c>
      <c r="I40" s="4" t="s">
        <v>188</v>
      </c>
    </row>
    <row r="41" spans="1:9" ht="38" customHeight="1">
      <c r="A41" s="6" t="s">
        <v>189</v>
      </c>
      <c r="B41" s="6" t="s">
        <v>190</v>
      </c>
      <c r="C41" s="12"/>
      <c r="D41" s="14"/>
      <c r="E41" s="6"/>
      <c r="F41" s="6" t="s">
        <v>460</v>
      </c>
      <c r="G41" s="6" t="s">
        <v>461</v>
      </c>
      <c r="H41" s="6" t="s">
        <v>462</v>
      </c>
      <c r="I41" s="6" t="s">
        <v>192</v>
      </c>
    </row>
    <row r="42" spans="1:9" ht="38" customHeight="1">
      <c r="A42" s="4" t="s">
        <v>193</v>
      </c>
      <c r="B42" s="4" t="s">
        <v>194</v>
      </c>
      <c r="C42" s="11"/>
      <c r="D42" s="13"/>
      <c r="E42" s="4"/>
      <c r="F42" s="4" t="s">
        <v>460</v>
      </c>
      <c r="G42" s="4" t="s">
        <v>461</v>
      </c>
      <c r="H42" s="4" t="s">
        <v>462</v>
      </c>
      <c r="I42" s="4" t="s">
        <v>195</v>
      </c>
    </row>
    <row r="43" spans="1:9" ht="38" customHeight="1">
      <c r="A43" s="6" t="s">
        <v>196</v>
      </c>
      <c r="B43" s="6" t="s">
        <v>197</v>
      </c>
      <c r="C43" s="12">
        <v>2</v>
      </c>
      <c r="D43" s="14">
        <v>1</v>
      </c>
      <c r="E43" s="17">
        <v>45644</v>
      </c>
      <c r="F43" s="6" t="s">
        <v>426</v>
      </c>
      <c r="G43" s="6" t="s">
        <v>487</v>
      </c>
      <c r="H43" s="6" t="s">
        <v>488</v>
      </c>
      <c r="I43" s="6" t="s">
        <v>199</v>
      </c>
    </row>
    <row r="44" spans="1:9" ht="38" customHeight="1">
      <c r="A44" s="4" t="s">
        <v>200</v>
      </c>
      <c r="B44" s="4" t="s">
        <v>201</v>
      </c>
      <c r="C44" s="11"/>
      <c r="D44" s="13"/>
      <c r="E44" s="4"/>
      <c r="F44" s="4" t="s">
        <v>460</v>
      </c>
      <c r="G44" s="4" t="s">
        <v>461</v>
      </c>
      <c r="H44" s="4" t="s">
        <v>462</v>
      </c>
      <c r="I44" s="4" t="s">
        <v>202</v>
      </c>
    </row>
    <row r="45" spans="1:9" ht="38" customHeight="1">
      <c r="A45" s="6" t="s">
        <v>203</v>
      </c>
      <c r="B45" s="6" t="s">
        <v>204</v>
      </c>
      <c r="C45" s="12"/>
      <c r="D45" s="14"/>
      <c r="E45" s="6"/>
      <c r="F45" s="6" t="s">
        <v>460</v>
      </c>
      <c r="G45" s="6" t="s">
        <v>461</v>
      </c>
      <c r="H45" s="6" t="s">
        <v>462</v>
      </c>
      <c r="I45" s="6" t="s">
        <v>205</v>
      </c>
    </row>
    <row r="46" spans="1:9" ht="38" customHeight="1">
      <c r="A46" s="4" t="s">
        <v>206</v>
      </c>
      <c r="B46" s="4" t="s">
        <v>207</v>
      </c>
      <c r="C46" s="11"/>
      <c r="D46" s="13"/>
      <c r="E46" s="4"/>
      <c r="F46" s="4" t="s">
        <v>460</v>
      </c>
      <c r="G46" s="4" t="s">
        <v>461</v>
      </c>
      <c r="H46" s="4" t="s">
        <v>489</v>
      </c>
      <c r="I46" s="4" t="s">
        <v>208</v>
      </c>
    </row>
    <row r="47" spans="1:9" ht="30" customHeight="1">
      <c r="A47" s="6" t="s">
        <v>209</v>
      </c>
      <c r="B47" s="6" t="s">
        <v>210</v>
      </c>
      <c r="C47" s="12"/>
      <c r="D47" s="14"/>
      <c r="E47" s="6"/>
      <c r="F47" s="6" t="s">
        <v>460</v>
      </c>
      <c r="G47" s="6" t="s">
        <v>461</v>
      </c>
      <c r="H47" s="6" t="s">
        <v>490</v>
      </c>
      <c r="I47" s="6" t="s">
        <v>211</v>
      </c>
    </row>
    <row r="48" spans="1:9" ht="38" customHeight="1">
      <c r="A48" s="4" t="s">
        <v>212</v>
      </c>
      <c r="B48" s="4" t="s">
        <v>213</v>
      </c>
      <c r="C48" s="11"/>
      <c r="D48" s="13"/>
      <c r="E48" s="4"/>
      <c r="F48" s="4" t="s">
        <v>460</v>
      </c>
      <c r="G48" s="4" t="s">
        <v>491</v>
      </c>
      <c r="H48" s="4" t="s">
        <v>492</v>
      </c>
      <c r="I48" s="4" t="s">
        <v>214</v>
      </c>
    </row>
    <row r="49" spans="1:9" ht="38" customHeight="1">
      <c r="A49" s="6" t="s">
        <v>215</v>
      </c>
      <c r="B49" s="6" t="s">
        <v>216</v>
      </c>
      <c r="C49" s="12"/>
      <c r="D49" s="14"/>
      <c r="E49" s="6"/>
      <c r="F49" s="6" t="s">
        <v>460</v>
      </c>
      <c r="G49" s="6" t="s">
        <v>493</v>
      </c>
      <c r="H49" s="6" t="s">
        <v>494</v>
      </c>
      <c r="I49" s="6" t="s">
        <v>220</v>
      </c>
    </row>
    <row r="50" spans="1:9" ht="38" customHeight="1">
      <c r="A50" s="4" t="s">
        <v>221</v>
      </c>
      <c r="B50" s="4" t="s">
        <v>222</v>
      </c>
      <c r="C50" s="11"/>
      <c r="D50" s="13"/>
      <c r="E50" s="4"/>
      <c r="F50" s="4" t="s">
        <v>460</v>
      </c>
      <c r="G50" s="4" t="s">
        <v>461</v>
      </c>
      <c r="H50" s="4" t="s">
        <v>462</v>
      </c>
      <c r="I50" s="4" t="s">
        <v>224</v>
      </c>
    </row>
    <row r="51" spans="1:9" ht="38" customHeight="1">
      <c r="A51" s="6" t="s">
        <v>225</v>
      </c>
      <c r="B51" s="6" t="s">
        <v>226</v>
      </c>
      <c r="C51" s="12">
        <v>50</v>
      </c>
      <c r="D51" s="14">
        <v>1</v>
      </c>
      <c r="E51" s="17">
        <v>44585</v>
      </c>
      <c r="F51" s="6" t="s">
        <v>426</v>
      </c>
      <c r="G51" s="6" t="s">
        <v>495</v>
      </c>
      <c r="H51" s="6" t="s">
        <v>496</v>
      </c>
      <c r="I51" s="6" t="s">
        <v>229</v>
      </c>
    </row>
    <row r="52" spans="1:9" ht="30" customHeight="1">
      <c r="A52" s="4" t="s">
        <v>230</v>
      </c>
      <c r="B52" s="4" t="s">
        <v>231</v>
      </c>
      <c r="C52" s="11">
        <v>1.7</v>
      </c>
      <c r="D52" s="13">
        <v>1</v>
      </c>
      <c r="E52" s="18">
        <v>46078</v>
      </c>
      <c r="F52" s="4" t="s">
        <v>426</v>
      </c>
      <c r="G52" s="4" t="s">
        <v>497</v>
      </c>
      <c r="H52" s="4" t="s">
        <v>498</v>
      </c>
      <c r="I52" s="4" t="s">
        <v>234</v>
      </c>
    </row>
    <row r="53" spans="1:9" ht="38" customHeight="1">
      <c r="A53" s="6" t="s">
        <v>235</v>
      </c>
      <c r="B53" s="6" t="s">
        <v>236</v>
      </c>
      <c r="C53" s="12"/>
      <c r="D53" s="14">
        <v>1</v>
      </c>
      <c r="E53" s="6" t="s">
        <v>499</v>
      </c>
      <c r="F53" s="6" t="s">
        <v>423</v>
      </c>
      <c r="G53" s="6" t="s">
        <v>500</v>
      </c>
      <c r="H53" s="6" t="s">
        <v>501</v>
      </c>
      <c r="I53" s="6" t="s">
        <v>238</v>
      </c>
    </row>
    <row r="54" spans="1:9" ht="38" customHeight="1">
      <c r="A54" s="4" t="s">
        <v>239</v>
      </c>
      <c r="B54" s="4" t="s">
        <v>240</v>
      </c>
      <c r="C54" s="11"/>
      <c r="D54" s="13"/>
      <c r="E54" s="4"/>
      <c r="F54" s="4" t="s">
        <v>460</v>
      </c>
      <c r="G54" s="4" t="s">
        <v>461</v>
      </c>
      <c r="H54" s="4" t="s">
        <v>462</v>
      </c>
      <c r="I54" s="4" t="s">
        <v>243</v>
      </c>
    </row>
    <row r="55" spans="1:9" ht="38" customHeight="1">
      <c r="A55" s="6" t="s">
        <v>244</v>
      </c>
      <c r="B55" s="6" t="s">
        <v>245</v>
      </c>
      <c r="C55" s="12"/>
      <c r="D55" s="14"/>
      <c r="E55" s="6"/>
      <c r="F55" s="6" t="s">
        <v>460</v>
      </c>
      <c r="G55" s="6" t="s">
        <v>461</v>
      </c>
      <c r="H55" s="6" t="s">
        <v>462</v>
      </c>
      <c r="I55" s="6" t="s">
        <v>247</v>
      </c>
    </row>
    <row r="56" spans="1:9" ht="38" customHeight="1">
      <c r="A56" s="4" t="s">
        <v>248</v>
      </c>
      <c r="B56" s="4" t="s">
        <v>249</v>
      </c>
      <c r="C56" s="11"/>
      <c r="D56" s="13"/>
      <c r="E56" s="4"/>
      <c r="F56" s="4" t="s">
        <v>460</v>
      </c>
      <c r="G56" s="4" t="s">
        <v>461</v>
      </c>
      <c r="H56" s="4" t="s">
        <v>462</v>
      </c>
      <c r="I56" s="4" t="s">
        <v>251</v>
      </c>
    </row>
    <row r="57" spans="1:9" ht="38" customHeight="1">
      <c r="A57" s="6" t="s">
        <v>252</v>
      </c>
      <c r="B57" s="6" t="s">
        <v>253</v>
      </c>
      <c r="C57" s="12"/>
      <c r="D57" s="14"/>
      <c r="E57" s="6"/>
      <c r="F57" s="6" t="s">
        <v>460</v>
      </c>
      <c r="G57" s="6" t="s">
        <v>461</v>
      </c>
      <c r="H57" s="6" t="s">
        <v>462</v>
      </c>
      <c r="I57" s="6" t="s">
        <v>254</v>
      </c>
    </row>
    <row r="58" spans="1:9" ht="38" customHeight="1">
      <c r="A58" s="4" t="s">
        <v>255</v>
      </c>
      <c r="B58" s="4" t="s">
        <v>256</v>
      </c>
      <c r="C58" s="11"/>
      <c r="D58" s="13"/>
      <c r="E58" s="4"/>
      <c r="F58" s="4" t="s">
        <v>460</v>
      </c>
      <c r="G58" s="4" t="s">
        <v>461</v>
      </c>
      <c r="H58" s="4" t="s">
        <v>462</v>
      </c>
      <c r="I58" s="4" t="s">
        <v>258</v>
      </c>
    </row>
    <row r="59" spans="1:9" ht="38" customHeight="1">
      <c r="A59" s="6" t="s">
        <v>259</v>
      </c>
      <c r="B59" s="6" t="s">
        <v>260</v>
      </c>
      <c r="C59" s="12">
        <v>0.74009999999999998</v>
      </c>
      <c r="D59" s="14">
        <v>3</v>
      </c>
      <c r="E59" s="6"/>
      <c r="F59" s="6" t="s">
        <v>460</v>
      </c>
      <c r="G59" s="6" t="s">
        <v>502</v>
      </c>
      <c r="H59" s="6" t="s">
        <v>503</v>
      </c>
      <c r="I59" s="6" t="s">
        <v>261</v>
      </c>
    </row>
    <row r="60" spans="1:9" ht="38" customHeight="1">
      <c r="A60" s="4" t="s">
        <v>262</v>
      </c>
      <c r="B60" s="4" t="s">
        <v>263</v>
      </c>
      <c r="C60" s="11"/>
      <c r="D60" s="13"/>
      <c r="E60" s="4"/>
      <c r="F60" s="4" t="s">
        <v>460</v>
      </c>
      <c r="G60" s="4" t="s">
        <v>461</v>
      </c>
      <c r="H60" s="4" t="s">
        <v>504</v>
      </c>
      <c r="I60" s="4" t="s">
        <v>267</v>
      </c>
    </row>
    <row r="61" spans="1:9" ht="38" customHeight="1">
      <c r="A61" s="6" t="s">
        <v>268</v>
      </c>
      <c r="B61" s="6" t="s">
        <v>269</v>
      </c>
      <c r="C61" s="12"/>
      <c r="D61" s="14"/>
      <c r="E61" s="6"/>
      <c r="F61" s="6" t="s">
        <v>460</v>
      </c>
      <c r="G61" s="6" t="s">
        <v>461</v>
      </c>
      <c r="H61" s="6" t="s">
        <v>504</v>
      </c>
      <c r="I61" s="6" t="s">
        <v>267</v>
      </c>
    </row>
    <row r="62" spans="1:9" ht="38" customHeight="1">
      <c r="A62" s="4" t="s">
        <v>270</v>
      </c>
      <c r="B62" s="4" t="s">
        <v>271</v>
      </c>
      <c r="C62" s="11"/>
      <c r="D62" s="13"/>
      <c r="E62" s="4"/>
      <c r="F62" s="4" t="s">
        <v>460</v>
      </c>
      <c r="G62" s="4" t="s">
        <v>461</v>
      </c>
      <c r="H62" s="4" t="s">
        <v>504</v>
      </c>
      <c r="I62" s="4" t="s">
        <v>267</v>
      </c>
    </row>
    <row r="63" spans="1:9" ht="38" customHeight="1">
      <c r="A63" s="6" t="s">
        <v>272</v>
      </c>
      <c r="B63" s="6" t="s">
        <v>273</v>
      </c>
      <c r="C63" s="12"/>
      <c r="D63" s="14"/>
      <c r="E63" s="6"/>
      <c r="F63" s="6" t="s">
        <v>460</v>
      </c>
      <c r="G63" s="6" t="s">
        <v>461</v>
      </c>
      <c r="H63" s="6" t="s">
        <v>504</v>
      </c>
      <c r="I63" s="6" t="s">
        <v>267</v>
      </c>
    </row>
    <row r="64" spans="1:9" ht="38" customHeight="1">
      <c r="A64" s="4" t="s">
        <v>274</v>
      </c>
      <c r="B64" s="4" t="s">
        <v>275</v>
      </c>
      <c r="C64" s="11"/>
      <c r="D64" s="13"/>
      <c r="E64" s="4"/>
      <c r="F64" s="4" t="s">
        <v>460</v>
      </c>
      <c r="G64" s="4" t="s">
        <v>461</v>
      </c>
      <c r="H64" s="4" t="s">
        <v>504</v>
      </c>
      <c r="I64" s="4" t="s">
        <v>267</v>
      </c>
    </row>
    <row r="65" spans="1:9" ht="38" customHeight="1">
      <c r="A65" s="6" t="s">
        <v>276</v>
      </c>
      <c r="B65" s="6" t="s">
        <v>277</v>
      </c>
      <c r="C65" s="12"/>
      <c r="D65" s="14"/>
      <c r="E65" s="6"/>
      <c r="F65" s="6" t="s">
        <v>460</v>
      </c>
      <c r="G65" s="6" t="s">
        <v>461</v>
      </c>
      <c r="H65" s="6" t="s">
        <v>504</v>
      </c>
      <c r="I65" s="6" t="s">
        <v>267</v>
      </c>
    </row>
    <row r="66" spans="1:9" ht="38" customHeight="1">
      <c r="A66" s="4" t="s">
        <v>278</v>
      </c>
      <c r="B66" s="4" t="s">
        <v>279</v>
      </c>
      <c r="C66" s="11"/>
      <c r="D66" s="13"/>
      <c r="E66" s="4"/>
      <c r="F66" s="4" t="s">
        <v>460</v>
      </c>
      <c r="G66" s="4" t="s">
        <v>461</v>
      </c>
      <c r="H66" s="4" t="s">
        <v>504</v>
      </c>
      <c r="I66" s="4" t="s">
        <v>267</v>
      </c>
    </row>
    <row r="67" spans="1:9" ht="38" customHeight="1">
      <c r="A67" s="6" t="s">
        <v>280</v>
      </c>
      <c r="B67" s="6" t="s">
        <v>281</v>
      </c>
      <c r="C67" s="12"/>
      <c r="D67" s="14"/>
      <c r="E67" s="6"/>
      <c r="F67" s="6" t="s">
        <v>460</v>
      </c>
      <c r="G67" s="6" t="s">
        <v>461</v>
      </c>
      <c r="H67" s="6" t="s">
        <v>504</v>
      </c>
      <c r="I67" s="6" t="s">
        <v>267</v>
      </c>
    </row>
    <row r="68" spans="1:9" ht="38" customHeight="1">
      <c r="A68" s="4" t="s">
        <v>282</v>
      </c>
      <c r="B68" s="4" t="s">
        <v>283</v>
      </c>
      <c r="C68" s="11"/>
      <c r="D68" s="13"/>
      <c r="E68" s="4"/>
      <c r="F68" s="4" t="s">
        <v>460</v>
      </c>
      <c r="G68" s="4" t="s">
        <v>461</v>
      </c>
      <c r="H68" s="4" t="s">
        <v>504</v>
      </c>
      <c r="I68" s="4" t="s">
        <v>267</v>
      </c>
    </row>
    <row r="69" spans="1:9" ht="38" customHeight="1">
      <c r="A69" s="6" t="s">
        <v>284</v>
      </c>
      <c r="B69" s="6" t="s">
        <v>285</v>
      </c>
      <c r="C69" s="12"/>
      <c r="D69" s="14"/>
      <c r="E69" s="6"/>
      <c r="F69" s="6" t="s">
        <v>460</v>
      </c>
      <c r="G69" s="6" t="s">
        <v>461</v>
      </c>
      <c r="H69" s="6" t="s">
        <v>504</v>
      </c>
      <c r="I69" s="6" t="s">
        <v>267</v>
      </c>
    </row>
    <row r="70" spans="1:9" ht="38" customHeight="1">
      <c r="A70" s="4" t="s">
        <v>286</v>
      </c>
      <c r="B70" s="4" t="s">
        <v>287</v>
      </c>
      <c r="C70" s="11"/>
      <c r="D70" s="13"/>
      <c r="E70" s="4"/>
      <c r="F70" s="4" t="s">
        <v>460</v>
      </c>
      <c r="G70" s="4" t="s">
        <v>461</v>
      </c>
      <c r="H70" s="4" t="s">
        <v>504</v>
      </c>
      <c r="I70" s="4" t="s">
        <v>267</v>
      </c>
    </row>
    <row r="71" spans="1:9" ht="38" customHeight="1">
      <c r="A71" s="6" t="s">
        <v>288</v>
      </c>
      <c r="B71" s="6" t="s">
        <v>289</v>
      </c>
      <c r="C71" s="12"/>
      <c r="D71" s="14"/>
      <c r="E71" s="6"/>
      <c r="F71" s="6" t="s">
        <v>460</v>
      </c>
      <c r="G71" s="6" t="s">
        <v>461</v>
      </c>
      <c r="H71" s="6" t="s">
        <v>504</v>
      </c>
      <c r="I71" s="6" t="s">
        <v>267</v>
      </c>
    </row>
    <row r="72" spans="1:9" ht="38" customHeight="1">
      <c r="A72" s="4" t="s">
        <v>290</v>
      </c>
      <c r="B72" s="4" t="s">
        <v>291</v>
      </c>
      <c r="C72" s="11"/>
      <c r="D72" s="13"/>
      <c r="E72" s="4"/>
      <c r="F72" s="4" t="s">
        <v>460</v>
      </c>
      <c r="G72" s="4" t="s">
        <v>461</v>
      </c>
      <c r="H72" s="4" t="s">
        <v>504</v>
      </c>
      <c r="I72" s="4" t="s">
        <v>267</v>
      </c>
    </row>
    <row r="73" spans="1:9" ht="38" customHeight="1">
      <c r="A73" s="6" t="s">
        <v>292</v>
      </c>
      <c r="B73" s="6" t="s">
        <v>293</v>
      </c>
      <c r="C73" s="12"/>
      <c r="D73" s="14"/>
      <c r="E73" s="6"/>
      <c r="F73" s="6" t="s">
        <v>460</v>
      </c>
      <c r="G73" s="6" t="s">
        <v>461</v>
      </c>
      <c r="H73" s="6" t="s">
        <v>504</v>
      </c>
      <c r="I73" s="6" t="s">
        <v>267</v>
      </c>
    </row>
    <row r="74" spans="1:9" ht="38" customHeight="1">
      <c r="A74" s="4" t="s">
        <v>294</v>
      </c>
      <c r="B74" s="4" t="s">
        <v>295</v>
      </c>
      <c r="C74" s="11"/>
      <c r="D74" s="13"/>
      <c r="E74" s="4"/>
      <c r="F74" s="4" t="s">
        <v>460</v>
      </c>
      <c r="G74" s="4" t="s">
        <v>461</v>
      </c>
      <c r="H74" s="4" t="s">
        <v>504</v>
      </c>
      <c r="I74" s="4" t="s">
        <v>267</v>
      </c>
    </row>
    <row r="75" spans="1:9" ht="38" customHeight="1">
      <c r="A75" s="6" t="s">
        <v>296</v>
      </c>
      <c r="B75" s="6" t="s">
        <v>297</v>
      </c>
      <c r="C75" s="12"/>
      <c r="D75" s="14"/>
      <c r="E75" s="6"/>
      <c r="F75" s="6" t="s">
        <v>460</v>
      </c>
      <c r="G75" s="6" t="s">
        <v>461</v>
      </c>
      <c r="H75" s="6" t="s">
        <v>504</v>
      </c>
      <c r="I75" s="6" t="s">
        <v>267</v>
      </c>
    </row>
    <row r="76" spans="1:9" ht="38" customHeight="1">
      <c r="A76" s="4" t="s">
        <v>298</v>
      </c>
      <c r="B76" s="4" t="s">
        <v>299</v>
      </c>
      <c r="C76" s="11"/>
      <c r="D76" s="13"/>
      <c r="E76" s="4"/>
      <c r="F76" s="4" t="s">
        <v>460</v>
      </c>
      <c r="G76" s="4" t="s">
        <v>461</v>
      </c>
      <c r="H76" s="4" t="s">
        <v>504</v>
      </c>
      <c r="I76" s="4" t="s">
        <v>267</v>
      </c>
    </row>
    <row r="77" spans="1:9" ht="38" customHeight="1">
      <c r="A77" s="6" t="s">
        <v>300</v>
      </c>
      <c r="B77" s="6" t="s">
        <v>301</v>
      </c>
      <c r="C77" s="12"/>
      <c r="D77" s="14"/>
      <c r="E77" s="6"/>
      <c r="F77" s="6" t="s">
        <v>460</v>
      </c>
      <c r="G77" s="6" t="s">
        <v>461</v>
      </c>
      <c r="H77" s="6" t="s">
        <v>504</v>
      </c>
      <c r="I77" s="6" t="s">
        <v>267</v>
      </c>
    </row>
    <row r="78" spans="1:9" ht="38" customHeight="1">
      <c r="A78" s="4" t="s">
        <v>302</v>
      </c>
      <c r="B78" s="4" t="s">
        <v>303</v>
      </c>
      <c r="C78" s="11"/>
      <c r="D78" s="13"/>
      <c r="E78" s="4"/>
      <c r="F78" s="4" t="s">
        <v>460</v>
      </c>
      <c r="G78" s="4" t="s">
        <v>461</v>
      </c>
      <c r="H78" s="4" t="s">
        <v>504</v>
      </c>
      <c r="I78" s="4" t="s">
        <v>267</v>
      </c>
    </row>
    <row r="79" spans="1:9" ht="38" customHeight="1">
      <c r="A79" s="6" t="s">
        <v>304</v>
      </c>
      <c r="B79" s="6" t="s">
        <v>305</v>
      </c>
      <c r="C79" s="12"/>
      <c r="D79" s="14"/>
      <c r="E79" s="6"/>
      <c r="F79" s="6" t="s">
        <v>460</v>
      </c>
      <c r="G79" s="6" t="s">
        <v>461</v>
      </c>
      <c r="H79" s="6" t="s">
        <v>504</v>
      </c>
      <c r="I79" s="6" t="s">
        <v>267</v>
      </c>
    </row>
    <row r="80" spans="1:9" ht="38" customHeight="1">
      <c r="A80" s="4" t="s">
        <v>306</v>
      </c>
      <c r="B80" s="4" t="s">
        <v>307</v>
      </c>
      <c r="C80" s="11"/>
      <c r="D80" s="13"/>
      <c r="E80" s="4"/>
      <c r="F80" s="4" t="s">
        <v>460</v>
      </c>
      <c r="G80" s="4" t="s">
        <v>461</v>
      </c>
      <c r="H80" s="4" t="s">
        <v>504</v>
      </c>
      <c r="I80" s="4" t="s">
        <v>267</v>
      </c>
    </row>
    <row r="81" spans="1:9" ht="38" customHeight="1">
      <c r="A81" s="6" t="s">
        <v>308</v>
      </c>
      <c r="B81" s="6" t="s">
        <v>309</v>
      </c>
      <c r="C81" s="12"/>
      <c r="D81" s="14"/>
      <c r="E81" s="6"/>
      <c r="F81" s="6" t="s">
        <v>460</v>
      </c>
      <c r="G81" s="6" t="s">
        <v>461</v>
      </c>
      <c r="H81" s="6" t="s">
        <v>504</v>
      </c>
      <c r="I81" s="6" t="s">
        <v>267</v>
      </c>
    </row>
    <row r="82" spans="1:9" ht="38" customHeight="1">
      <c r="A82" s="4" t="s">
        <v>310</v>
      </c>
      <c r="B82" s="4" t="s">
        <v>311</v>
      </c>
      <c r="C82" s="11"/>
      <c r="D82" s="13"/>
      <c r="E82" s="4"/>
      <c r="F82" s="4" t="s">
        <v>460</v>
      </c>
      <c r="G82" s="4" t="s">
        <v>461</v>
      </c>
      <c r="H82" s="4" t="s">
        <v>504</v>
      </c>
      <c r="I82" s="4" t="s">
        <v>267</v>
      </c>
    </row>
    <row r="83" spans="1:9" ht="38" customHeight="1">
      <c r="A83" s="6" t="s">
        <v>312</v>
      </c>
      <c r="B83" s="6" t="s">
        <v>313</v>
      </c>
      <c r="C83" s="12"/>
      <c r="D83" s="14"/>
      <c r="E83" s="6"/>
      <c r="F83" s="6" t="s">
        <v>460</v>
      </c>
      <c r="G83" s="6" t="s">
        <v>461</v>
      </c>
      <c r="H83" s="6" t="s">
        <v>504</v>
      </c>
      <c r="I83" s="6" t="s">
        <v>267</v>
      </c>
    </row>
    <row r="84" spans="1:9" ht="38" customHeight="1">
      <c r="A84" s="4" t="s">
        <v>314</v>
      </c>
      <c r="B84" s="4" t="s">
        <v>315</v>
      </c>
      <c r="C84" s="11"/>
      <c r="D84" s="13"/>
      <c r="E84" s="4"/>
      <c r="F84" s="4" t="s">
        <v>460</v>
      </c>
      <c r="G84" s="4" t="s">
        <v>461</v>
      </c>
      <c r="H84" s="4" t="s">
        <v>504</v>
      </c>
      <c r="I84" s="4" t="s">
        <v>267</v>
      </c>
    </row>
    <row r="85" spans="1:9" ht="38" customHeight="1">
      <c r="A85" s="6" t="s">
        <v>316</v>
      </c>
      <c r="B85" s="6" t="s">
        <v>317</v>
      </c>
      <c r="C85" s="12"/>
      <c r="D85" s="14"/>
      <c r="E85" s="6"/>
      <c r="F85" s="6" t="s">
        <v>460</v>
      </c>
      <c r="G85" s="6" t="s">
        <v>461</v>
      </c>
      <c r="H85" s="6" t="s">
        <v>504</v>
      </c>
      <c r="I85" s="6" t="s">
        <v>267</v>
      </c>
    </row>
    <row r="86" spans="1:9" ht="38" customHeight="1">
      <c r="A86" s="4" t="s">
        <v>318</v>
      </c>
      <c r="B86" s="4" t="s">
        <v>319</v>
      </c>
      <c r="C86" s="11"/>
      <c r="D86" s="13"/>
      <c r="E86" s="4"/>
      <c r="F86" s="4" t="s">
        <v>460</v>
      </c>
      <c r="G86" s="4" t="s">
        <v>461</v>
      </c>
      <c r="H86" s="4" t="s">
        <v>504</v>
      </c>
      <c r="I86" s="4" t="s">
        <v>267</v>
      </c>
    </row>
    <row r="87" spans="1:9" ht="38" customHeight="1">
      <c r="A87" s="6" t="s">
        <v>320</v>
      </c>
      <c r="B87" s="6" t="s">
        <v>321</v>
      </c>
      <c r="C87" s="12"/>
      <c r="D87" s="14"/>
      <c r="E87" s="6"/>
      <c r="F87" s="6" t="s">
        <v>460</v>
      </c>
      <c r="G87" s="6" t="s">
        <v>461</v>
      </c>
      <c r="H87" s="6" t="s">
        <v>504</v>
      </c>
      <c r="I87" s="6" t="s">
        <v>267</v>
      </c>
    </row>
    <row r="88" spans="1:9" ht="38" customHeight="1">
      <c r="A88" s="4" t="s">
        <v>322</v>
      </c>
      <c r="B88" s="4" t="s">
        <v>323</v>
      </c>
      <c r="C88" s="11"/>
      <c r="D88" s="13"/>
      <c r="E88" s="4"/>
      <c r="F88" s="4" t="s">
        <v>460</v>
      </c>
      <c r="G88" s="4" t="s">
        <v>461</v>
      </c>
      <c r="H88" s="4" t="s">
        <v>504</v>
      </c>
      <c r="I88" s="4" t="s">
        <v>267</v>
      </c>
    </row>
    <row r="89" spans="1:9" ht="38" customHeight="1">
      <c r="A89" s="6" t="s">
        <v>324</v>
      </c>
      <c r="B89" s="6" t="s">
        <v>325</v>
      </c>
      <c r="C89" s="12"/>
      <c r="D89" s="14"/>
      <c r="E89" s="6"/>
      <c r="F89" s="6" t="s">
        <v>460</v>
      </c>
      <c r="G89" s="6" t="s">
        <v>461</v>
      </c>
      <c r="H89" s="6" t="s">
        <v>504</v>
      </c>
      <c r="I89" s="6" t="s">
        <v>267</v>
      </c>
    </row>
    <row r="90" spans="1:9" ht="38" customHeight="1">
      <c r="A90" s="4" t="s">
        <v>326</v>
      </c>
      <c r="B90" s="4" t="s">
        <v>327</v>
      </c>
      <c r="C90" s="11"/>
      <c r="D90" s="13"/>
      <c r="E90" s="4"/>
      <c r="F90" s="4" t="s">
        <v>460</v>
      </c>
      <c r="G90" s="4" t="s">
        <v>461</v>
      </c>
      <c r="H90" s="4" t="s">
        <v>504</v>
      </c>
      <c r="I90" s="4" t="s">
        <v>267</v>
      </c>
    </row>
    <row r="91" spans="1:9" ht="38" customHeight="1">
      <c r="A91" s="6" t="s">
        <v>328</v>
      </c>
      <c r="B91" s="6" t="s">
        <v>329</v>
      </c>
      <c r="C91" s="12"/>
      <c r="D91" s="14"/>
      <c r="E91" s="6"/>
      <c r="F91" s="6" t="s">
        <v>460</v>
      </c>
      <c r="G91" s="6" t="s">
        <v>461</v>
      </c>
      <c r="H91" s="6" t="s">
        <v>504</v>
      </c>
      <c r="I91" s="6" t="s">
        <v>267</v>
      </c>
    </row>
    <row r="92" spans="1:9" ht="38" customHeight="1">
      <c r="A92" s="4" t="s">
        <v>330</v>
      </c>
      <c r="B92" s="4" t="s">
        <v>331</v>
      </c>
      <c r="C92" s="11"/>
      <c r="D92" s="13"/>
      <c r="E92" s="4"/>
      <c r="F92" s="4" t="s">
        <v>460</v>
      </c>
      <c r="G92" s="4" t="s">
        <v>461</v>
      </c>
      <c r="H92" s="4" t="s">
        <v>504</v>
      </c>
      <c r="I92" s="4" t="s">
        <v>267</v>
      </c>
    </row>
    <row r="93" spans="1:9" ht="38" customHeight="1">
      <c r="A93" s="6" t="s">
        <v>332</v>
      </c>
      <c r="B93" s="6" t="s">
        <v>333</v>
      </c>
      <c r="C93" s="12"/>
      <c r="D93" s="14"/>
      <c r="E93" s="6"/>
      <c r="F93" s="6" t="s">
        <v>460</v>
      </c>
      <c r="G93" s="6" t="s">
        <v>461</v>
      </c>
      <c r="H93" s="6" t="s">
        <v>504</v>
      </c>
      <c r="I93" s="6" t="s">
        <v>267</v>
      </c>
    </row>
    <row r="94" spans="1:9" ht="38" customHeight="1">
      <c r="A94" s="4" t="s">
        <v>334</v>
      </c>
      <c r="B94" s="4" t="s">
        <v>335</v>
      </c>
      <c r="C94" s="11"/>
      <c r="D94" s="13"/>
      <c r="E94" s="4"/>
      <c r="F94" s="4" t="s">
        <v>460</v>
      </c>
      <c r="G94" s="4" t="s">
        <v>461</v>
      </c>
      <c r="H94" s="4" t="s">
        <v>504</v>
      </c>
      <c r="I94" s="4" t="s">
        <v>267</v>
      </c>
    </row>
    <row r="95" spans="1:9" ht="38" customHeight="1">
      <c r="A95" s="6" t="s">
        <v>336</v>
      </c>
      <c r="B95" s="6" t="s">
        <v>337</v>
      </c>
      <c r="C95" s="12"/>
      <c r="D95" s="14"/>
      <c r="E95" s="6"/>
      <c r="F95" s="6" t="s">
        <v>460</v>
      </c>
      <c r="G95" s="6" t="s">
        <v>461</v>
      </c>
      <c r="H95" s="6" t="s">
        <v>504</v>
      </c>
      <c r="I95" s="6" t="s">
        <v>267</v>
      </c>
    </row>
    <row r="96" spans="1:9" ht="38" customHeight="1">
      <c r="A96" s="4" t="s">
        <v>338</v>
      </c>
      <c r="B96" s="4" t="s">
        <v>339</v>
      </c>
      <c r="C96" s="11"/>
      <c r="D96" s="13"/>
      <c r="E96" s="4"/>
      <c r="F96" s="4" t="s">
        <v>460</v>
      </c>
      <c r="G96" s="4" t="s">
        <v>461</v>
      </c>
      <c r="H96" s="4" t="s">
        <v>504</v>
      </c>
      <c r="I96" s="4" t="s">
        <v>267</v>
      </c>
    </row>
    <row r="97" spans="1:9" ht="38" customHeight="1">
      <c r="A97" s="6" t="s">
        <v>340</v>
      </c>
      <c r="B97" s="6" t="s">
        <v>341</v>
      </c>
      <c r="C97" s="12"/>
      <c r="D97" s="14"/>
      <c r="E97" s="6"/>
      <c r="F97" s="6" t="s">
        <v>460</v>
      </c>
      <c r="G97" s="6" t="s">
        <v>461</v>
      </c>
      <c r="H97" s="6" t="s">
        <v>504</v>
      </c>
      <c r="I97" s="6" t="s">
        <v>267</v>
      </c>
    </row>
    <row r="98" spans="1:9" ht="38" customHeight="1">
      <c r="A98" s="4" t="s">
        <v>342</v>
      </c>
      <c r="B98" s="4" t="s">
        <v>343</v>
      </c>
      <c r="C98" s="11"/>
      <c r="D98" s="13"/>
      <c r="E98" s="4"/>
      <c r="F98" s="4" t="s">
        <v>460</v>
      </c>
      <c r="G98" s="4" t="s">
        <v>461</v>
      </c>
      <c r="H98" s="4" t="s">
        <v>504</v>
      </c>
      <c r="I98" s="4" t="s">
        <v>267</v>
      </c>
    </row>
    <row r="99" spans="1:9" ht="38" customHeight="1">
      <c r="A99" s="6" t="s">
        <v>344</v>
      </c>
      <c r="B99" s="6" t="s">
        <v>345</v>
      </c>
      <c r="C99" s="12"/>
      <c r="D99" s="14"/>
      <c r="E99" s="6"/>
      <c r="F99" s="6" t="s">
        <v>460</v>
      </c>
      <c r="G99" s="6" t="s">
        <v>461</v>
      </c>
      <c r="H99" s="6" t="s">
        <v>504</v>
      </c>
      <c r="I99" s="6" t="s">
        <v>267</v>
      </c>
    </row>
    <row r="100" spans="1:9" ht="38" customHeight="1">
      <c r="A100" s="4" t="s">
        <v>346</v>
      </c>
      <c r="B100" s="4" t="s">
        <v>347</v>
      </c>
      <c r="C100" s="11"/>
      <c r="D100" s="13"/>
      <c r="E100" s="4"/>
      <c r="F100" s="4" t="s">
        <v>460</v>
      </c>
      <c r="G100" s="4" t="s">
        <v>461</v>
      </c>
      <c r="H100" s="4" t="s">
        <v>504</v>
      </c>
      <c r="I100" s="4" t="s">
        <v>267</v>
      </c>
    </row>
    <row r="101" spans="1:9" ht="38" customHeight="1">
      <c r="A101" s="6" t="s">
        <v>348</v>
      </c>
      <c r="B101" s="6" t="s">
        <v>349</v>
      </c>
      <c r="C101" s="12"/>
      <c r="D101" s="14"/>
      <c r="E101" s="6"/>
      <c r="F101" s="6" t="s">
        <v>460</v>
      </c>
      <c r="G101" s="6" t="s">
        <v>461</v>
      </c>
      <c r="H101" s="6" t="s">
        <v>504</v>
      </c>
      <c r="I101" s="6" t="s">
        <v>267</v>
      </c>
    </row>
    <row r="102" spans="1:9" ht="38" customHeight="1">
      <c r="A102" s="4" t="s">
        <v>350</v>
      </c>
      <c r="B102" s="4" t="s">
        <v>351</v>
      </c>
      <c r="C102" s="11"/>
      <c r="D102" s="13"/>
      <c r="E102" s="4"/>
      <c r="F102" s="4" t="s">
        <v>460</v>
      </c>
      <c r="G102" s="4" t="s">
        <v>461</v>
      </c>
      <c r="H102" s="4" t="s">
        <v>504</v>
      </c>
      <c r="I102" s="4" t="s">
        <v>267</v>
      </c>
    </row>
    <row r="103" spans="1:9" ht="38" customHeight="1">
      <c r="A103" s="6" t="s">
        <v>352</v>
      </c>
      <c r="B103" s="6" t="s">
        <v>353</v>
      </c>
      <c r="C103" s="12"/>
      <c r="D103" s="14"/>
      <c r="E103" s="6"/>
      <c r="F103" s="6" t="s">
        <v>460</v>
      </c>
      <c r="G103" s="6" t="s">
        <v>461</v>
      </c>
      <c r="H103" s="6" t="s">
        <v>504</v>
      </c>
      <c r="I103" s="6" t="s">
        <v>267</v>
      </c>
    </row>
    <row r="104" spans="1:9" ht="38" customHeight="1">
      <c r="A104" s="4" t="s">
        <v>356</v>
      </c>
      <c r="B104" s="4" t="s">
        <v>357</v>
      </c>
      <c r="C104" s="11"/>
      <c r="D104" s="13"/>
      <c r="E104" s="4"/>
      <c r="F104" s="4" t="s">
        <v>460</v>
      </c>
      <c r="G104" s="4" t="s">
        <v>461</v>
      </c>
      <c r="H104" s="4" t="s">
        <v>504</v>
      </c>
      <c r="I104" s="4" t="s">
        <v>267</v>
      </c>
    </row>
    <row r="105" spans="1:9" ht="38" customHeight="1">
      <c r="A105" s="6" t="s">
        <v>358</v>
      </c>
      <c r="B105" s="6" t="s">
        <v>359</v>
      </c>
      <c r="C105" s="12"/>
      <c r="D105" s="14"/>
      <c r="E105" s="6"/>
      <c r="F105" s="6" t="s">
        <v>460</v>
      </c>
      <c r="G105" s="6" t="s">
        <v>461</v>
      </c>
      <c r="H105" s="6" t="s">
        <v>504</v>
      </c>
      <c r="I105" s="6" t="s">
        <v>267</v>
      </c>
    </row>
    <row r="106" spans="1:9" ht="38" customHeight="1">
      <c r="A106" s="4" t="s">
        <v>360</v>
      </c>
      <c r="B106" s="4" t="s">
        <v>361</v>
      </c>
      <c r="C106" s="11"/>
      <c r="D106" s="13"/>
      <c r="E106" s="4"/>
      <c r="F106" s="4" t="s">
        <v>460</v>
      </c>
      <c r="G106" s="4" t="s">
        <v>461</v>
      </c>
      <c r="H106" s="4" t="s">
        <v>504</v>
      </c>
      <c r="I106" s="4" t="s">
        <v>267</v>
      </c>
    </row>
    <row r="107" spans="1:9" ht="38" customHeight="1">
      <c r="A107" s="6" t="s">
        <v>362</v>
      </c>
      <c r="B107" s="6" t="s">
        <v>363</v>
      </c>
      <c r="C107" s="12"/>
      <c r="D107" s="14"/>
      <c r="E107" s="6"/>
      <c r="F107" s="6" t="s">
        <v>460</v>
      </c>
      <c r="G107" s="6" t="s">
        <v>461</v>
      </c>
      <c r="H107" s="6" t="s">
        <v>504</v>
      </c>
      <c r="I107" s="6" t="s">
        <v>267</v>
      </c>
    </row>
    <row r="108" spans="1:9" ht="38" customHeight="1">
      <c r="A108" s="4" t="s">
        <v>365</v>
      </c>
      <c r="B108" s="4" t="s">
        <v>366</v>
      </c>
      <c r="C108" s="11"/>
      <c r="D108" s="13"/>
      <c r="E108" s="4"/>
      <c r="F108" s="4" t="s">
        <v>460</v>
      </c>
      <c r="G108" s="4" t="s">
        <v>461</v>
      </c>
      <c r="H108" s="4" t="s">
        <v>504</v>
      </c>
      <c r="I108" s="4" t="s">
        <v>267</v>
      </c>
    </row>
    <row r="109" spans="1:9" ht="38" customHeight="1">
      <c r="A109" s="6" t="s">
        <v>367</v>
      </c>
      <c r="B109" s="6" t="s">
        <v>368</v>
      </c>
      <c r="C109" s="12"/>
      <c r="D109" s="14"/>
      <c r="E109" s="6"/>
      <c r="F109" s="6" t="s">
        <v>460</v>
      </c>
      <c r="G109" s="6" t="s">
        <v>461</v>
      </c>
      <c r="H109" s="6" t="s">
        <v>504</v>
      </c>
      <c r="I109" s="6" t="s">
        <v>267</v>
      </c>
    </row>
    <row r="110" spans="1:9" ht="38" customHeight="1">
      <c r="A110" s="4" t="s">
        <v>369</v>
      </c>
      <c r="B110" s="4" t="s">
        <v>370</v>
      </c>
      <c r="C110" s="11"/>
      <c r="D110" s="13"/>
      <c r="E110" s="4"/>
      <c r="F110" s="4" t="s">
        <v>460</v>
      </c>
      <c r="G110" s="4" t="s">
        <v>461</v>
      </c>
      <c r="H110" s="4" t="s">
        <v>504</v>
      </c>
      <c r="I110" s="4" t="s">
        <v>267</v>
      </c>
    </row>
    <row r="111" spans="1:9" ht="38" customHeight="1">
      <c r="A111" s="6" t="s">
        <v>371</v>
      </c>
      <c r="B111" s="6" t="s">
        <v>372</v>
      </c>
      <c r="C111" s="12"/>
      <c r="D111" s="14"/>
      <c r="E111" s="6"/>
      <c r="F111" s="6" t="s">
        <v>460</v>
      </c>
      <c r="G111" s="6" t="s">
        <v>461</v>
      </c>
      <c r="H111" s="6" t="s">
        <v>504</v>
      </c>
      <c r="I111" s="6" t="s">
        <v>267</v>
      </c>
    </row>
    <row r="112" spans="1:9" ht="38" customHeight="1">
      <c r="A112" s="4" t="s">
        <v>373</v>
      </c>
      <c r="B112" s="4" t="s">
        <v>374</v>
      </c>
      <c r="C112" s="11"/>
      <c r="D112" s="13"/>
      <c r="E112" s="4"/>
      <c r="F112" s="4" t="s">
        <v>460</v>
      </c>
      <c r="G112" s="4" t="s">
        <v>461</v>
      </c>
      <c r="H112" s="4" t="s">
        <v>504</v>
      </c>
      <c r="I112" s="4" t="s">
        <v>267</v>
      </c>
    </row>
    <row r="113" spans="1:9" ht="38" customHeight="1">
      <c r="A113" s="6" t="s">
        <v>375</v>
      </c>
      <c r="B113" s="6" t="s">
        <v>376</v>
      </c>
      <c r="C113" s="12"/>
      <c r="D113" s="14"/>
      <c r="E113" s="6"/>
      <c r="F113" s="6" t="s">
        <v>460</v>
      </c>
      <c r="G113" s="6" t="s">
        <v>461</v>
      </c>
      <c r="H113" s="6" t="s">
        <v>504</v>
      </c>
      <c r="I113" s="6" t="s">
        <v>267</v>
      </c>
    </row>
    <row r="114" spans="1:9" ht="38" customHeight="1">
      <c r="A114" s="4" t="s">
        <v>377</v>
      </c>
      <c r="B114" s="4" t="s">
        <v>378</v>
      </c>
      <c r="C114" s="11"/>
      <c r="D114" s="13"/>
      <c r="E114" s="4"/>
      <c r="F114" s="4" t="s">
        <v>460</v>
      </c>
      <c r="G114" s="4" t="s">
        <v>461</v>
      </c>
      <c r="H114" s="4" t="s">
        <v>504</v>
      </c>
      <c r="I114" s="4" t="s">
        <v>267</v>
      </c>
    </row>
    <row r="115" spans="1:9" ht="38" customHeight="1">
      <c r="A115" s="6" t="s">
        <v>379</v>
      </c>
      <c r="B115" s="6" t="s">
        <v>380</v>
      </c>
      <c r="C115" s="12"/>
      <c r="D115" s="14"/>
      <c r="E115" s="6"/>
      <c r="F115" s="6" t="s">
        <v>460</v>
      </c>
      <c r="G115" s="6" t="s">
        <v>461</v>
      </c>
      <c r="H115" s="6" t="s">
        <v>504</v>
      </c>
      <c r="I115" s="6" t="s">
        <v>267</v>
      </c>
    </row>
    <row r="116" spans="1:9" ht="38" customHeight="1">
      <c r="A116" s="4" t="s">
        <v>381</v>
      </c>
      <c r="B116" s="4" t="s">
        <v>382</v>
      </c>
      <c r="C116" s="11"/>
      <c r="D116" s="13"/>
      <c r="E116" s="4"/>
      <c r="F116" s="4" t="s">
        <v>460</v>
      </c>
      <c r="G116" s="4" t="s">
        <v>461</v>
      </c>
      <c r="H116" s="4" t="s">
        <v>504</v>
      </c>
      <c r="I116" s="4" t="s">
        <v>267</v>
      </c>
    </row>
    <row r="117" spans="1:9" ht="38" customHeight="1">
      <c r="A117" s="6" t="s">
        <v>384</v>
      </c>
      <c r="B117" s="6" t="s">
        <v>385</v>
      </c>
      <c r="C117" s="12"/>
      <c r="D117" s="14"/>
      <c r="E117" s="6"/>
      <c r="F117" s="6" t="s">
        <v>460</v>
      </c>
      <c r="G117" s="6" t="s">
        <v>461</v>
      </c>
      <c r="H117" s="6" t="s">
        <v>504</v>
      </c>
      <c r="I117" s="6" t="s">
        <v>267</v>
      </c>
    </row>
    <row r="118" spans="1:9" ht="38" customHeight="1">
      <c r="A118" s="4" t="s">
        <v>386</v>
      </c>
      <c r="B118" s="4" t="s">
        <v>387</v>
      </c>
      <c r="C118" s="11"/>
      <c r="D118" s="13"/>
      <c r="E118" s="4"/>
      <c r="F118" s="4" t="s">
        <v>460</v>
      </c>
      <c r="G118" s="4" t="s">
        <v>461</v>
      </c>
      <c r="H118" s="4" t="s">
        <v>504</v>
      </c>
      <c r="I118" s="4" t="s">
        <v>267</v>
      </c>
    </row>
    <row r="119" spans="1:9" ht="38" customHeight="1">
      <c r="A119" s="6" t="s">
        <v>388</v>
      </c>
      <c r="B119" s="6" t="s">
        <v>389</v>
      </c>
      <c r="C119" s="12"/>
      <c r="D119" s="14"/>
      <c r="E119" s="6"/>
      <c r="F119" s="6" t="s">
        <v>460</v>
      </c>
      <c r="G119" s="6" t="s">
        <v>461</v>
      </c>
      <c r="H119" s="6" t="s">
        <v>504</v>
      </c>
      <c r="I119" s="6" t="s">
        <v>267</v>
      </c>
    </row>
    <row r="120" spans="1:9" ht="38" customHeight="1">
      <c r="A120" s="4" t="s">
        <v>391</v>
      </c>
      <c r="B120" s="4" t="s">
        <v>392</v>
      </c>
      <c r="C120" s="11"/>
      <c r="D120" s="13"/>
      <c r="E120" s="4"/>
      <c r="F120" s="4" t="s">
        <v>460</v>
      </c>
      <c r="G120" s="4" t="s">
        <v>461</v>
      </c>
      <c r="H120" s="4" t="s">
        <v>504</v>
      </c>
      <c r="I120" s="4" t="s">
        <v>267</v>
      </c>
    </row>
    <row r="121" spans="1:9" ht="38" customHeight="1">
      <c r="A121" s="6" t="s">
        <v>394</v>
      </c>
      <c r="B121" s="6" t="s">
        <v>395</v>
      </c>
      <c r="C121" s="12"/>
      <c r="D121" s="14"/>
      <c r="E121" s="6"/>
      <c r="F121" s="6" t="s">
        <v>460</v>
      </c>
      <c r="G121" s="6" t="s">
        <v>461</v>
      </c>
      <c r="H121" s="6" t="s">
        <v>504</v>
      </c>
      <c r="I121" s="6" t="s">
        <v>267</v>
      </c>
    </row>
    <row r="122" spans="1:9" ht="38" customHeight="1">
      <c r="A122" s="4" t="s">
        <v>397</v>
      </c>
      <c r="B122" s="4" t="s">
        <v>398</v>
      </c>
      <c r="C122" s="11"/>
      <c r="D122" s="13"/>
      <c r="E122" s="4"/>
      <c r="F122" s="4" t="s">
        <v>460</v>
      </c>
      <c r="G122" s="4" t="s">
        <v>461</v>
      </c>
      <c r="H122" s="4" t="s">
        <v>504</v>
      </c>
      <c r="I122" s="4" t="s">
        <v>267</v>
      </c>
    </row>
    <row r="123" spans="1:9" ht="38" customHeight="1">
      <c r="A123" s="6" t="s">
        <v>399</v>
      </c>
      <c r="B123" s="6" t="s">
        <v>400</v>
      </c>
      <c r="C123" s="12"/>
      <c r="D123" s="14"/>
      <c r="E123" s="6"/>
      <c r="F123" s="6" t="s">
        <v>460</v>
      </c>
      <c r="G123" s="6" t="s">
        <v>461</v>
      </c>
      <c r="H123" s="6" t="s">
        <v>462</v>
      </c>
      <c r="I123" s="6" t="s">
        <v>402</v>
      </c>
    </row>
    <row r="124" spans="1:9" ht="38" customHeight="1">
      <c r="A124" s="4" t="s">
        <v>403</v>
      </c>
      <c r="B124" s="4" t="s">
        <v>404</v>
      </c>
      <c r="C124" s="11"/>
      <c r="D124" s="13"/>
      <c r="E124" s="4"/>
      <c r="F124" s="4" t="s">
        <v>460</v>
      </c>
      <c r="G124" s="4" t="s">
        <v>461</v>
      </c>
      <c r="H124" s="4" t="s">
        <v>462</v>
      </c>
      <c r="I124" s="4" t="s">
        <v>409</v>
      </c>
    </row>
    <row r="125" spans="1:9" ht="38" customHeight="1">
      <c r="A125" s="6" t="s">
        <v>410</v>
      </c>
      <c r="B125" s="6" t="s">
        <v>411</v>
      </c>
      <c r="C125" s="12"/>
      <c r="D125" s="14"/>
      <c r="E125" s="6"/>
      <c r="F125" s="6" t="s">
        <v>460</v>
      </c>
      <c r="G125" s="6" t="s">
        <v>461</v>
      </c>
      <c r="H125" s="6" t="s">
        <v>462</v>
      </c>
      <c r="I125" s="6" t="s">
        <v>413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showGridLines="0" workbookViewId="0">
      <pane xSplit="2" ySplit="5" topLeftCell="H6" activePane="bottomRight" state="frozen"/>
      <selection pane="topRight"/>
      <selection pane="bottomLeft"/>
      <selection pane="bottomRight" activeCell="H6" sqref="H6"/>
    </sheetView>
  </sheetViews>
  <sheetFormatPr defaultRowHeight="14"/>
  <cols>
    <col min="1" max="1" width="34" customWidth="1"/>
    <col min="2" max="2" width="32" customWidth="1"/>
    <col min="3" max="5" width="21" customWidth="1"/>
    <col min="6" max="6" width="34" customWidth="1"/>
    <col min="7" max="7" width="79" customWidth="1"/>
    <col min="8" max="8" width="29" customWidth="1"/>
  </cols>
  <sheetData>
    <row r="1" spans="1:8">
      <c r="A1" s="1"/>
      <c r="B1" s="1"/>
      <c r="C1" s="1"/>
      <c r="D1" s="1"/>
      <c r="E1" s="1"/>
      <c r="F1" s="1"/>
      <c r="G1" s="1"/>
      <c r="H1" s="1"/>
    </row>
    <row r="2" spans="1:8" ht="18">
      <c r="A2" s="2" t="s">
        <v>505</v>
      </c>
      <c r="B2" s="1"/>
      <c r="C2" s="1"/>
      <c r="D2" s="1"/>
      <c r="E2" s="1"/>
      <c r="F2" s="1"/>
      <c r="G2" s="1"/>
      <c r="H2" s="1"/>
    </row>
    <row r="3" spans="1:8" ht="26" customHeight="1">
      <c r="A3" s="3" t="s">
        <v>506</v>
      </c>
      <c r="B3" s="1"/>
      <c r="C3" s="1"/>
      <c r="D3" s="1"/>
      <c r="E3" s="1"/>
      <c r="F3" s="1"/>
      <c r="G3" s="1"/>
      <c r="H3" s="1"/>
    </row>
    <row r="4" spans="1:8">
      <c r="A4" s="1"/>
      <c r="B4" s="1"/>
      <c r="C4" s="1"/>
      <c r="D4" s="1"/>
      <c r="E4" s="1"/>
      <c r="F4" s="1"/>
      <c r="G4" s="1"/>
      <c r="H4" s="1"/>
    </row>
    <row r="5" spans="1:8" ht="34" customHeight="1">
      <c r="A5" s="5" t="s">
        <v>2</v>
      </c>
      <c r="B5" s="5" t="s">
        <v>507</v>
      </c>
      <c r="C5" s="5" t="s">
        <v>508</v>
      </c>
      <c r="D5" s="5" t="s">
        <v>509</v>
      </c>
      <c r="E5" s="5" t="s">
        <v>510</v>
      </c>
      <c r="F5" s="5" t="s">
        <v>511</v>
      </c>
      <c r="G5" s="5" t="s">
        <v>512</v>
      </c>
      <c r="H5" s="5" t="s">
        <v>65</v>
      </c>
    </row>
    <row r="6" spans="1:8" ht="38" customHeight="1">
      <c r="A6" s="4" t="s">
        <v>32</v>
      </c>
      <c r="B6" s="4" t="s">
        <v>513</v>
      </c>
      <c r="C6" s="4" t="s">
        <v>514</v>
      </c>
      <c r="D6" s="11">
        <v>2.3199999999999998</v>
      </c>
      <c r="E6" s="11"/>
      <c r="F6" s="4" t="s">
        <v>515</v>
      </c>
      <c r="G6" s="4" t="s">
        <v>516</v>
      </c>
      <c r="H6" s="4" t="s">
        <v>71</v>
      </c>
    </row>
    <row r="7" spans="1:8" ht="38" customHeight="1">
      <c r="A7" s="6" t="s">
        <v>32</v>
      </c>
      <c r="B7" s="6" t="s">
        <v>517</v>
      </c>
      <c r="C7" s="6" t="s">
        <v>422</v>
      </c>
      <c r="D7" s="12">
        <v>8</v>
      </c>
      <c r="E7" s="12"/>
      <c r="F7" s="6" t="s">
        <v>515</v>
      </c>
      <c r="G7" s="6" t="s">
        <v>518</v>
      </c>
      <c r="H7" s="6" t="s">
        <v>71</v>
      </c>
    </row>
    <row r="8" spans="1:8" ht="30" customHeight="1">
      <c r="A8" s="4" t="s">
        <v>11</v>
      </c>
      <c r="B8" s="4" t="s">
        <v>517</v>
      </c>
      <c r="C8" s="18">
        <v>46071</v>
      </c>
      <c r="D8" s="11">
        <v>10</v>
      </c>
      <c r="E8" s="11"/>
      <c r="F8" s="4" t="s">
        <v>515</v>
      </c>
      <c r="G8" s="4" t="s">
        <v>519</v>
      </c>
      <c r="H8" s="4" t="s">
        <v>75</v>
      </c>
    </row>
    <row r="9" spans="1:8" ht="38" customHeight="1">
      <c r="A9" s="6" t="s">
        <v>25</v>
      </c>
      <c r="B9" s="6" t="s">
        <v>520</v>
      </c>
      <c r="C9" s="6" t="s">
        <v>429</v>
      </c>
      <c r="D9" s="12">
        <v>6</v>
      </c>
      <c r="E9" s="12"/>
      <c r="F9" s="6" t="s">
        <v>515</v>
      </c>
      <c r="G9" s="6" t="s">
        <v>521</v>
      </c>
      <c r="H9" s="6" t="s">
        <v>79</v>
      </c>
    </row>
    <row r="10" spans="1:8" ht="38" customHeight="1">
      <c r="A10" s="4" t="s">
        <v>18</v>
      </c>
      <c r="B10" s="4" t="s">
        <v>513</v>
      </c>
      <c r="C10" s="4" t="s">
        <v>433</v>
      </c>
      <c r="D10" s="11">
        <v>3</v>
      </c>
      <c r="E10" s="11"/>
      <c r="F10" s="4" t="s">
        <v>515</v>
      </c>
      <c r="G10" s="4" t="s">
        <v>522</v>
      </c>
      <c r="H10" s="4" t="s">
        <v>82</v>
      </c>
    </row>
    <row r="11" spans="1:8" ht="30" customHeight="1">
      <c r="A11" s="6" t="s">
        <v>39</v>
      </c>
      <c r="B11" s="6" t="s">
        <v>523</v>
      </c>
      <c r="C11" s="17">
        <v>45841</v>
      </c>
      <c r="D11" s="12">
        <v>4.1500000000000004</v>
      </c>
      <c r="E11" s="12"/>
      <c r="F11" s="6" t="s">
        <v>515</v>
      </c>
      <c r="G11" s="6" t="s">
        <v>524</v>
      </c>
      <c r="H11" s="6" t="s">
        <v>85</v>
      </c>
    </row>
    <row r="12" spans="1:8" ht="38" customHeight="1">
      <c r="A12" s="4" t="s">
        <v>39</v>
      </c>
      <c r="B12" s="4" t="s">
        <v>525</v>
      </c>
      <c r="C12" s="18">
        <v>45951</v>
      </c>
      <c r="D12" s="11">
        <f>6-4.15</f>
        <v>1.8499999999999996</v>
      </c>
      <c r="E12" s="11"/>
      <c r="F12" s="4" t="s">
        <v>526</v>
      </c>
      <c r="G12" s="4" t="s">
        <v>527</v>
      </c>
      <c r="H12" s="4" t="s">
        <v>85</v>
      </c>
    </row>
    <row r="13" spans="1:8" ht="30" customHeight="1">
      <c r="A13" s="6" t="s">
        <v>87</v>
      </c>
      <c r="B13" s="6" t="s">
        <v>513</v>
      </c>
      <c r="C13" s="17">
        <v>45604</v>
      </c>
      <c r="D13" s="12">
        <v>4</v>
      </c>
      <c r="E13" s="12"/>
      <c r="F13" s="6" t="s">
        <v>515</v>
      </c>
      <c r="G13" s="6" t="s">
        <v>528</v>
      </c>
      <c r="H13" s="6" t="s">
        <v>89</v>
      </c>
    </row>
    <row r="14" spans="1:8" ht="30" customHeight="1">
      <c r="A14" s="4" t="s">
        <v>87</v>
      </c>
      <c r="B14" s="4" t="s">
        <v>529</v>
      </c>
      <c r="C14" s="18">
        <v>46069</v>
      </c>
      <c r="D14" s="11">
        <v>15</v>
      </c>
      <c r="E14" s="11"/>
      <c r="F14" s="4" t="s">
        <v>515</v>
      </c>
      <c r="G14" s="4" t="s">
        <v>530</v>
      </c>
      <c r="H14" s="4" t="s">
        <v>89</v>
      </c>
    </row>
    <row r="15" spans="1:8" ht="38" customHeight="1">
      <c r="A15" s="6" t="s">
        <v>87</v>
      </c>
      <c r="B15" s="6" t="s">
        <v>531</v>
      </c>
      <c r="C15" s="17">
        <v>46169</v>
      </c>
      <c r="D15" s="12">
        <f>16.7-15</f>
        <v>1.6999999999999993</v>
      </c>
      <c r="E15" s="12"/>
      <c r="F15" s="6" t="s">
        <v>526</v>
      </c>
      <c r="G15" s="6" t="s">
        <v>532</v>
      </c>
      <c r="H15" s="6" t="s">
        <v>89</v>
      </c>
    </row>
    <row r="16" spans="1:8" ht="30" customHeight="1">
      <c r="A16" s="4" t="s">
        <v>91</v>
      </c>
      <c r="B16" s="4" t="s">
        <v>533</v>
      </c>
      <c r="C16" s="4" t="s">
        <v>473</v>
      </c>
      <c r="D16" s="11">
        <v>1.3</v>
      </c>
      <c r="E16" s="11"/>
      <c r="F16" s="4" t="s">
        <v>534</v>
      </c>
      <c r="G16" s="4" t="s">
        <v>535</v>
      </c>
      <c r="H16" s="4" t="s">
        <v>93</v>
      </c>
    </row>
    <row r="17" spans="1:8" ht="30" customHeight="1">
      <c r="A17" s="6" t="s">
        <v>91</v>
      </c>
      <c r="B17" s="6" t="s">
        <v>513</v>
      </c>
      <c r="C17" s="6" t="s">
        <v>536</v>
      </c>
      <c r="D17" s="12">
        <v>3.5</v>
      </c>
      <c r="E17" s="12"/>
      <c r="F17" s="6" t="s">
        <v>515</v>
      </c>
      <c r="G17" s="6" t="s">
        <v>537</v>
      </c>
      <c r="H17" s="6" t="s">
        <v>93</v>
      </c>
    </row>
    <row r="18" spans="1:8" ht="38" customHeight="1">
      <c r="A18" s="4" t="s">
        <v>91</v>
      </c>
      <c r="B18" s="4" t="s">
        <v>525</v>
      </c>
      <c r="C18" s="4" t="s">
        <v>440</v>
      </c>
      <c r="D18" s="11">
        <v>2.6</v>
      </c>
      <c r="E18" s="11"/>
      <c r="F18" s="4" t="s">
        <v>526</v>
      </c>
      <c r="G18" s="4" t="s">
        <v>538</v>
      </c>
      <c r="H18" s="4" t="s">
        <v>93</v>
      </c>
    </row>
    <row r="19" spans="1:8" ht="38" customHeight="1">
      <c r="A19" s="6" t="s">
        <v>95</v>
      </c>
      <c r="B19" s="6" t="s">
        <v>513</v>
      </c>
      <c r="C19" s="6"/>
      <c r="D19" s="12"/>
      <c r="E19" s="12">
        <v>8.3000000000000007</v>
      </c>
      <c r="F19" s="6" t="s">
        <v>539</v>
      </c>
      <c r="G19" s="6" t="s">
        <v>540</v>
      </c>
      <c r="H19" s="6" t="s">
        <v>97</v>
      </c>
    </row>
    <row r="20" spans="1:8" ht="38" customHeight="1">
      <c r="A20" s="4" t="s">
        <v>95</v>
      </c>
      <c r="B20" s="4" t="s">
        <v>541</v>
      </c>
      <c r="C20" s="4" t="s">
        <v>422</v>
      </c>
      <c r="D20" s="11"/>
      <c r="E20" s="11">
        <v>10</v>
      </c>
      <c r="F20" s="4" t="s">
        <v>515</v>
      </c>
      <c r="G20" s="4" t="s">
        <v>542</v>
      </c>
      <c r="H20" s="4" t="s">
        <v>97</v>
      </c>
    </row>
    <row r="21" spans="1:8" ht="38" customHeight="1">
      <c r="A21" s="6" t="s">
        <v>95</v>
      </c>
      <c r="B21" s="6" t="s">
        <v>517</v>
      </c>
      <c r="C21" s="17">
        <v>45862</v>
      </c>
      <c r="D21" s="12"/>
      <c r="E21" s="12">
        <v>107</v>
      </c>
      <c r="F21" s="6" t="s">
        <v>515</v>
      </c>
      <c r="G21" s="6" t="s">
        <v>543</v>
      </c>
      <c r="H21" s="6" t="s">
        <v>97</v>
      </c>
    </row>
    <row r="22" spans="1:8" ht="30" customHeight="1">
      <c r="A22" s="4" t="s">
        <v>99</v>
      </c>
      <c r="B22" s="4" t="s">
        <v>513</v>
      </c>
      <c r="C22" s="4" t="s">
        <v>429</v>
      </c>
      <c r="D22" s="11">
        <v>3</v>
      </c>
      <c r="E22" s="11"/>
      <c r="F22" s="4" t="s">
        <v>515</v>
      </c>
      <c r="G22" s="4" t="s">
        <v>544</v>
      </c>
      <c r="H22" s="4" t="s">
        <v>100</v>
      </c>
    </row>
    <row r="23" spans="1:8" ht="30" customHeight="1">
      <c r="A23" s="6" t="s">
        <v>99</v>
      </c>
      <c r="B23" s="6" t="s">
        <v>541</v>
      </c>
      <c r="C23" s="17">
        <v>46148</v>
      </c>
      <c r="D23" s="12">
        <v>6</v>
      </c>
      <c r="E23" s="12"/>
      <c r="F23" s="6" t="s">
        <v>515</v>
      </c>
      <c r="G23" s="6" t="s">
        <v>545</v>
      </c>
      <c r="H23" s="6" t="s">
        <v>100</v>
      </c>
    </row>
    <row r="24" spans="1:8" ht="30" customHeight="1">
      <c r="A24" s="4" t="s">
        <v>109</v>
      </c>
      <c r="B24" s="4" t="s">
        <v>517</v>
      </c>
      <c r="C24" s="18">
        <v>46154</v>
      </c>
      <c r="D24" s="11">
        <v>13</v>
      </c>
      <c r="E24" s="11"/>
      <c r="F24" s="4" t="s">
        <v>546</v>
      </c>
      <c r="G24" s="4" t="s">
        <v>547</v>
      </c>
      <c r="H24" s="4" t="s">
        <v>110</v>
      </c>
    </row>
    <row r="25" spans="1:8" ht="30" customHeight="1">
      <c r="A25" s="6" t="s">
        <v>112</v>
      </c>
      <c r="B25" s="6" t="s">
        <v>548</v>
      </c>
      <c r="C25" s="17">
        <v>46050</v>
      </c>
      <c r="D25" s="12">
        <v>8</v>
      </c>
      <c r="E25" s="12"/>
      <c r="F25" s="6" t="s">
        <v>546</v>
      </c>
      <c r="G25" s="6" t="s">
        <v>547</v>
      </c>
      <c r="H25" s="6" t="s">
        <v>113</v>
      </c>
    </row>
    <row r="26" spans="1:8" ht="30" customHeight="1">
      <c r="A26" s="4" t="s">
        <v>139</v>
      </c>
      <c r="B26" s="4" t="s">
        <v>513</v>
      </c>
      <c r="C26" s="18">
        <v>45982</v>
      </c>
      <c r="D26" s="11">
        <v>2</v>
      </c>
      <c r="E26" s="11"/>
      <c r="F26" s="4" t="s">
        <v>546</v>
      </c>
      <c r="G26" s="4" t="s">
        <v>547</v>
      </c>
      <c r="H26" s="4" t="s">
        <v>140</v>
      </c>
    </row>
    <row r="27" spans="1:8" ht="38" customHeight="1">
      <c r="A27" s="6" t="s">
        <v>179</v>
      </c>
      <c r="B27" s="6" t="s">
        <v>549</v>
      </c>
      <c r="C27" s="17">
        <v>46077</v>
      </c>
      <c r="D27" s="12">
        <v>1.8</v>
      </c>
      <c r="E27" s="12"/>
      <c r="F27" s="6" t="s">
        <v>546</v>
      </c>
      <c r="G27" s="6" t="s">
        <v>547</v>
      </c>
      <c r="H27" s="6" t="s">
        <v>181</v>
      </c>
    </row>
    <row r="28" spans="1:8" ht="30" customHeight="1">
      <c r="A28" s="4" t="s">
        <v>183</v>
      </c>
      <c r="B28" s="4" t="s">
        <v>541</v>
      </c>
      <c r="C28" s="18">
        <v>45840</v>
      </c>
      <c r="D28" s="11">
        <v>2.2999999999999998</v>
      </c>
      <c r="E28" s="11"/>
      <c r="F28" s="4" t="s">
        <v>546</v>
      </c>
      <c r="G28" s="4" t="s">
        <v>547</v>
      </c>
      <c r="H28" s="4" t="s">
        <v>185</v>
      </c>
    </row>
    <row r="29" spans="1:8" ht="30" customHeight="1">
      <c r="A29" s="6" t="s">
        <v>197</v>
      </c>
      <c r="B29" s="6" t="s">
        <v>513</v>
      </c>
      <c r="C29" s="17">
        <v>45644</v>
      </c>
      <c r="D29" s="12">
        <v>2</v>
      </c>
      <c r="E29" s="12"/>
      <c r="F29" s="6" t="s">
        <v>546</v>
      </c>
      <c r="G29" s="6" t="s">
        <v>547</v>
      </c>
      <c r="H29" s="6" t="s">
        <v>199</v>
      </c>
    </row>
    <row r="30" spans="1:8" ht="30" customHeight="1">
      <c r="A30" s="4" t="s">
        <v>231</v>
      </c>
      <c r="B30" s="4" t="s">
        <v>550</v>
      </c>
      <c r="C30" s="18">
        <v>46078</v>
      </c>
      <c r="D30" s="11">
        <v>1.7</v>
      </c>
      <c r="E30" s="11"/>
      <c r="F30" s="4" t="s">
        <v>546</v>
      </c>
      <c r="G30" s="4" t="s">
        <v>547</v>
      </c>
      <c r="H30" s="4" t="s">
        <v>234</v>
      </c>
    </row>
    <row r="31" spans="1:8" ht="30" customHeight="1">
      <c r="A31" s="6" t="s">
        <v>226</v>
      </c>
      <c r="B31" s="6" t="s">
        <v>551</v>
      </c>
      <c r="C31" s="17">
        <v>44585</v>
      </c>
      <c r="D31" s="12">
        <v>50</v>
      </c>
      <c r="E31" s="12"/>
      <c r="F31" s="6" t="s">
        <v>546</v>
      </c>
      <c r="G31" s="6" t="s">
        <v>547</v>
      </c>
      <c r="H31" s="6" t="s">
        <v>229</v>
      </c>
    </row>
    <row r="32" spans="1:8" ht="38" customHeight="1">
      <c r="A32" s="4" t="s">
        <v>106</v>
      </c>
      <c r="B32" s="4" t="s">
        <v>541</v>
      </c>
      <c r="C32" s="18">
        <v>45754</v>
      </c>
      <c r="D32" s="11">
        <v>1.1000000000000001</v>
      </c>
      <c r="E32" s="11"/>
      <c r="F32" s="4" t="s">
        <v>546</v>
      </c>
      <c r="G32" s="4" t="s">
        <v>547</v>
      </c>
      <c r="H32" s="4" t="s">
        <v>107</v>
      </c>
    </row>
    <row r="33" spans="1:8" ht="30" customHeight="1">
      <c r="A33" s="6" t="s">
        <v>167</v>
      </c>
      <c r="B33" s="6" t="s">
        <v>552</v>
      </c>
      <c r="C33" s="6" t="s">
        <v>476</v>
      </c>
      <c r="D33" s="12">
        <v>4</v>
      </c>
      <c r="E33" s="12"/>
      <c r="F33" s="6" t="s">
        <v>546</v>
      </c>
      <c r="G33" s="6" t="s">
        <v>547</v>
      </c>
      <c r="H33" s="6" t="s">
        <v>168</v>
      </c>
    </row>
    <row r="34" spans="1:8" ht="30" customHeight="1">
      <c r="A34" s="4" t="s">
        <v>128</v>
      </c>
      <c r="B34" s="4" t="s">
        <v>553</v>
      </c>
      <c r="C34" s="18">
        <v>44061</v>
      </c>
      <c r="D34" s="11">
        <v>0.11</v>
      </c>
      <c r="E34" s="11"/>
      <c r="F34" s="4" t="s">
        <v>546</v>
      </c>
      <c r="G34" s="4" t="s">
        <v>547</v>
      </c>
      <c r="H34" s="4" t="s">
        <v>131</v>
      </c>
    </row>
    <row r="35" spans="1:8" ht="30" customHeight="1">
      <c r="A35" s="6" t="s">
        <v>115</v>
      </c>
      <c r="B35" s="6" t="s">
        <v>513</v>
      </c>
      <c r="C35" s="17">
        <v>46044</v>
      </c>
      <c r="D35" s="12">
        <v>2.7</v>
      </c>
      <c r="E35" s="12">
        <v>25</v>
      </c>
      <c r="F35" s="6" t="s">
        <v>515</v>
      </c>
      <c r="G35" s="6" t="s">
        <v>554</v>
      </c>
      <c r="H35" s="6" t="s">
        <v>116</v>
      </c>
    </row>
    <row r="36" spans="1:8" ht="38" customHeight="1">
      <c r="A36" s="4" t="s">
        <v>118</v>
      </c>
      <c r="B36" s="4" t="s">
        <v>555</v>
      </c>
      <c r="C36" s="18">
        <v>46093</v>
      </c>
      <c r="D36" s="11"/>
      <c r="E36" s="11">
        <v>20</v>
      </c>
      <c r="F36" s="4" t="s">
        <v>556</v>
      </c>
      <c r="G36" s="4" t="s">
        <v>557</v>
      </c>
      <c r="H36" s="4" t="s">
        <v>119</v>
      </c>
    </row>
    <row r="37" spans="1:8" ht="38" customHeight="1">
      <c r="A37" s="6" t="s">
        <v>170</v>
      </c>
      <c r="B37" s="6" t="s">
        <v>517</v>
      </c>
      <c r="C37" s="17">
        <v>45274</v>
      </c>
      <c r="D37" s="12">
        <v>2.4</v>
      </c>
      <c r="E37" s="12">
        <v>20</v>
      </c>
      <c r="F37" s="6" t="s">
        <v>515</v>
      </c>
      <c r="G37" s="6" t="s">
        <v>558</v>
      </c>
      <c r="H37" s="6" t="s">
        <v>171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5"/>
  <sheetViews>
    <sheetView showGridLines="0" workbookViewId="0">
      <pane xSplit="2" ySplit="5" topLeftCell="D6" activePane="bottomRight" state="frozen"/>
      <selection pane="topRight"/>
      <selection pane="bottomLeft"/>
      <selection pane="bottomRight" activeCell="D7" sqref="D7"/>
    </sheetView>
  </sheetViews>
  <sheetFormatPr defaultRowHeight="14"/>
  <cols>
    <col min="1" max="1" width="11" customWidth="1"/>
    <col min="2" max="2" width="34" customWidth="1"/>
    <col min="3" max="3" width="76" customWidth="1"/>
    <col min="4" max="4" width="90" customWidth="1"/>
    <col min="5" max="5" width="52" customWidth="1"/>
    <col min="6" max="6" width="29" customWidth="1"/>
  </cols>
  <sheetData>
    <row r="1" spans="1:6">
      <c r="A1" s="1"/>
      <c r="B1" s="1"/>
      <c r="C1" s="1"/>
      <c r="D1" s="1"/>
      <c r="E1" s="1"/>
      <c r="F1" s="1"/>
    </row>
    <row r="2" spans="1:6" ht="18">
      <c r="A2" s="2" t="s">
        <v>559</v>
      </c>
      <c r="B2" s="1"/>
      <c r="C2" s="1"/>
      <c r="D2" s="1"/>
      <c r="E2" s="1"/>
      <c r="F2" s="1"/>
    </row>
    <row r="3" spans="1:6" ht="26" customHeight="1">
      <c r="A3" s="3" t="s">
        <v>560</v>
      </c>
      <c r="B3" s="1"/>
      <c r="C3" s="1"/>
      <c r="D3" s="1"/>
      <c r="E3" s="1"/>
      <c r="F3" s="1"/>
    </row>
    <row r="4" spans="1:6">
      <c r="A4" s="1"/>
      <c r="B4" s="1"/>
      <c r="C4" s="1"/>
      <c r="D4" s="1"/>
      <c r="E4" s="1"/>
      <c r="F4" s="1"/>
    </row>
    <row r="5" spans="1:6" ht="34" customHeight="1">
      <c r="A5" s="5" t="s">
        <v>59</v>
      </c>
      <c r="B5" s="5" t="s">
        <v>2</v>
      </c>
      <c r="C5" s="5" t="s">
        <v>561</v>
      </c>
      <c r="D5" s="5" t="s">
        <v>562</v>
      </c>
      <c r="E5" s="5" t="s">
        <v>563</v>
      </c>
      <c r="F5" s="5" t="s">
        <v>65</v>
      </c>
    </row>
    <row r="6" spans="1:6" ht="38" customHeight="1">
      <c r="A6" s="4" t="s">
        <v>66</v>
      </c>
      <c r="B6" s="4" t="s">
        <v>32</v>
      </c>
      <c r="C6" s="4" t="s">
        <v>564</v>
      </c>
      <c r="D6" s="4" t="s">
        <v>565</v>
      </c>
      <c r="E6" s="4" t="s">
        <v>566</v>
      </c>
      <c r="F6" s="4" t="s">
        <v>71</v>
      </c>
    </row>
    <row r="7" spans="1:6" ht="51" customHeight="1">
      <c r="A7" s="6" t="s">
        <v>72</v>
      </c>
      <c r="B7" s="6" t="s">
        <v>11</v>
      </c>
      <c r="C7" s="6" t="s">
        <v>567</v>
      </c>
      <c r="D7" s="6" t="s">
        <v>568</v>
      </c>
      <c r="E7" s="6" t="s">
        <v>569</v>
      </c>
      <c r="F7" s="6" t="s">
        <v>75</v>
      </c>
    </row>
    <row r="8" spans="1:6" ht="38" customHeight="1">
      <c r="A8" s="4" t="s">
        <v>76</v>
      </c>
      <c r="B8" s="4" t="s">
        <v>25</v>
      </c>
      <c r="C8" s="4" t="s">
        <v>570</v>
      </c>
      <c r="D8" s="4" t="s">
        <v>571</v>
      </c>
      <c r="E8" s="4" t="s">
        <v>572</v>
      </c>
      <c r="F8" s="4" t="s">
        <v>79</v>
      </c>
    </row>
    <row r="9" spans="1:6" ht="51" customHeight="1">
      <c r="A9" s="6" t="s">
        <v>80</v>
      </c>
      <c r="B9" s="6" t="s">
        <v>18</v>
      </c>
      <c r="C9" s="6" t="s">
        <v>573</v>
      </c>
      <c r="D9" s="6" t="s">
        <v>574</v>
      </c>
      <c r="E9" s="6" t="s">
        <v>575</v>
      </c>
      <c r="F9" s="6" t="s">
        <v>82</v>
      </c>
    </row>
    <row r="10" spans="1:6" ht="51" customHeight="1">
      <c r="A10" s="4" t="s">
        <v>83</v>
      </c>
      <c r="B10" s="4" t="s">
        <v>39</v>
      </c>
      <c r="C10" s="4" t="s">
        <v>576</v>
      </c>
      <c r="D10" s="4" t="s">
        <v>577</v>
      </c>
      <c r="E10" s="4" t="s">
        <v>578</v>
      </c>
      <c r="F10" s="4" t="s">
        <v>85</v>
      </c>
    </row>
    <row r="11" spans="1:6" ht="38" customHeight="1">
      <c r="A11" s="6" t="s">
        <v>86</v>
      </c>
      <c r="B11" s="6" t="s">
        <v>87</v>
      </c>
      <c r="C11" s="6" t="s">
        <v>579</v>
      </c>
      <c r="D11" s="6" t="s">
        <v>580</v>
      </c>
      <c r="E11" s="6" t="s">
        <v>581</v>
      </c>
      <c r="F11" s="6" t="s">
        <v>89</v>
      </c>
    </row>
    <row r="12" spans="1:6" ht="38" customHeight="1">
      <c r="A12" s="4" t="s">
        <v>90</v>
      </c>
      <c r="B12" s="4" t="s">
        <v>91</v>
      </c>
      <c r="C12" s="4" t="s">
        <v>582</v>
      </c>
      <c r="D12" s="4" t="s">
        <v>583</v>
      </c>
      <c r="E12" s="4" t="s">
        <v>584</v>
      </c>
      <c r="F12" s="4" t="s">
        <v>93</v>
      </c>
    </row>
    <row r="13" spans="1:6" ht="38" customHeight="1">
      <c r="A13" s="6" t="s">
        <v>94</v>
      </c>
      <c r="B13" s="6" t="s">
        <v>95</v>
      </c>
      <c r="C13" s="6" t="s">
        <v>585</v>
      </c>
      <c r="D13" s="6" t="s">
        <v>586</v>
      </c>
      <c r="E13" s="6" t="s">
        <v>572</v>
      </c>
      <c r="F13" s="6" t="s">
        <v>97</v>
      </c>
    </row>
    <row r="14" spans="1:6" ht="38" customHeight="1">
      <c r="A14" s="4" t="s">
        <v>98</v>
      </c>
      <c r="B14" s="4" t="s">
        <v>99</v>
      </c>
      <c r="C14" s="4" t="s">
        <v>587</v>
      </c>
      <c r="D14" s="4" t="s">
        <v>588</v>
      </c>
      <c r="E14" s="4" t="s">
        <v>589</v>
      </c>
      <c r="F14" s="4" t="s">
        <v>100</v>
      </c>
    </row>
    <row r="15" spans="1:6" ht="38" customHeight="1">
      <c r="A15" s="6" t="s">
        <v>101</v>
      </c>
      <c r="B15" s="6" t="s">
        <v>102</v>
      </c>
      <c r="C15" s="6" t="s">
        <v>590</v>
      </c>
      <c r="D15" s="6" t="s">
        <v>591</v>
      </c>
      <c r="E15" s="6" t="s">
        <v>592</v>
      </c>
      <c r="F15" s="6" t="s">
        <v>104</v>
      </c>
    </row>
    <row r="16" spans="1:6" ht="38" customHeight="1">
      <c r="A16" s="4" t="s">
        <v>105</v>
      </c>
      <c r="B16" s="4" t="s">
        <v>106</v>
      </c>
      <c r="C16" s="4" t="s">
        <v>593</v>
      </c>
      <c r="D16" s="4" t="s">
        <v>594</v>
      </c>
      <c r="E16" s="4" t="s">
        <v>595</v>
      </c>
      <c r="F16" s="4" t="s">
        <v>107</v>
      </c>
    </row>
    <row r="17" spans="1:6" ht="51" customHeight="1">
      <c r="A17" s="6" t="s">
        <v>108</v>
      </c>
      <c r="B17" s="6" t="s">
        <v>109</v>
      </c>
      <c r="C17" s="6" t="s">
        <v>596</v>
      </c>
      <c r="D17" s="6" t="s">
        <v>597</v>
      </c>
      <c r="E17" s="6" t="s">
        <v>598</v>
      </c>
      <c r="F17" s="6" t="s">
        <v>110</v>
      </c>
    </row>
    <row r="18" spans="1:6" ht="38" customHeight="1">
      <c r="A18" s="4" t="s">
        <v>111</v>
      </c>
      <c r="B18" s="4" t="s">
        <v>112</v>
      </c>
      <c r="C18" s="4" t="s">
        <v>599</v>
      </c>
      <c r="D18" s="4" t="s">
        <v>600</v>
      </c>
      <c r="E18" s="4" t="s">
        <v>601</v>
      </c>
      <c r="F18" s="4" t="s">
        <v>113</v>
      </c>
    </row>
    <row r="19" spans="1:6" ht="38" customHeight="1">
      <c r="A19" s="6" t="s">
        <v>114</v>
      </c>
      <c r="B19" s="6" t="s">
        <v>115</v>
      </c>
      <c r="C19" s="6" t="s">
        <v>602</v>
      </c>
      <c r="D19" s="6" t="s">
        <v>603</v>
      </c>
      <c r="E19" s="6" t="s">
        <v>604</v>
      </c>
      <c r="F19" s="6" t="s">
        <v>116</v>
      </c>
    </row>
    <row r="20" spans="1:6" ht="30" customHeight="1">
      <c r="A20" s="4" t="s">
        <v>117</v>
      </c>
      <c r="B20" s="4" t="s">
        <v>118</v>
      </c>
      <c r="C20" s="4" t="s">
        <v>605</v>
      </c>
      <c r="D20" s="4" t="s">
        <v>606</v>
      </c>
      <c r="E20" s="4" t="s">
        <v>607</v>
      </c>
      <c r="F20" s="4" t="s">
        <v>119</v>
      </c>
    </row>
    <row r="21" spans="1:6" ht="38" customHeight="1">
      <c r="A21" s="6" t="s">
        <v>120</v>
      </c>
      <c r="B21" s="6" t="s">
        <v>121</v>
      </c>
      <c r="C21" s="6" t="s">
        <v>608</v>
      </c>
      <c r="D21" s="6" t="s">
        <v>609</v>
      </c>
      <c r="E21" s="6" t="s">
        <v>610</v>
      </c>
      <c r="F21" s="6" t="s">
        <v>123</v>
      </c>
    </row>
    <row r="22" spans="1:6" ht="38" customHeight="1">
      <c r="A22" s="4" t="s">
        <v>124</v>
      </c>
      <c r="B22" s="4" t="s">
        <v>125</v>
      </c>
      <c r="C22" s="4" t="s">
        <v>611</v>
      </c>
      <c r="D22" s="4" t="s">
        <v>612</v>
      </c>
      <c r="E22" s="4" t="s">
        <v>613</v>
      </c>
      <c r="F22" s="4" t="s">
        <v>126</v>
      </c>
    </row>
    <row r="23" spans="1:6" ht="51" customHeight="1">
      <c r="A23" s="6" t="s">
        <v>127</v>
      </c>
      <c r="B23" s="6" t="s">
        <v>128</v>
      </c>
      <c r="C23" s="6" t="s">
        <v>614</v>
      </c>
      <c r="D23" s="6" t="s">
        <v>615</v>
      </c>
      <c r="E23" s="6" t="s">
        <v>616</v>
      </c>
      <c r="F23" s="6" t="s">
        <v>131</v>
      </c>
    </row>
    <row r="24" spans="1:6" ht="38" customHeight="1">
      <c r="A24" s="4" t="s">
        <v>132</v>
      </c>
      <c r="B24" s="4" t="s">
        <v>133</v>
      </c>
      <c r="C24" s="4" t="s">
        <v>617</v>
      </c>
      <c r="D24" s="4" t="s">
        <v>618</v>
      </c>
      <c r="E24" s="4" t="s">
        <v>619</v>
      </c>
      <c r="F24" s="4" t="s">
        <v>134</v>
      </c>
    </row>
    <row r="25" spans="1:6" ht="38" customHeight="1">
      <c r="A25" s="6" t="s">
        <v>135</v>
      </c>
      <c r="B25" s="6" t="s">
        <v>136</v>
      </c>
      <c r="C25" s="6" t="s">
        <v>620</v>
      </c>
      <c r="D25" s="6" t="s">
        <v>621</v>
      </c>
      <c r="E25" s="6" t="s">
        <v>622</v>
      </c>
      <c r="F25" s="6" t="s">
        <v>137</v>
      </c>
    </row>
    <row r="26" spans="1:6" ht="38" customHeight="1">
      <c r="A26" s="4" t="s">
        <v>138</v>
      </c>
      <c r="B26" s="4" t="s">
        <v>139</v>
      </c>
      <c r="C26" s="4" t="s">
        <v>623</v>
      </c>
      <c r="D26" s="4" t="s">
        <v>624</v>
      </c>
      <c r="E26" s="4" t="s">
        <v>604</v>
      </c>
      <c r="F26" s="4" t="s">
        <v>140</v>
      </c>
    </row>
    <row r="27" spans="1:6" ht="38" customHeight="1">
      <c r="A27" s="6" t="s">
        <v>141</v>
      </c>
      <c r="B27" s="6" t="s">
        <v>142</v>
      </c>
      <c r="C27" s="6" t="s">
        <v>625</v>
      </c>
      <c r="D27" s="6" t="s">
        <v>626</v>
      </c>
      <c r="E27" s="6" t="s">
        <v>627</v>
      </c>
      <c r="F27" s="6" t="s">
        <v>143</v>
      </c>
    </row>
    <row r="28" spans="1:6" ht="38" customHeight="1">
      <c r="A28" s="4" t="s">
        <v>144</v>
      </c>
      <c r="B28" s="4" t="s">
        <v>145</v>
      </c>
      <c r="C28" s="4" t="s">
        <v>628</v>
      </c>
      <c r="D28" s="4" t="s">
        <v>629</v>
      </c>
      <c r="E28" s="4" t="s">
        <v>630</v>
      </c>
      <c r="F28" s="4" t="s">
        <v>147</v>
      </c>
    </row>
    <row r="29" spans="1:6" ht="38" customHeight="1">
      <c r="A29" s="6" t="s">
        <v>148</v>
      </c>
      <c r="B29" s="6" t="s">
        <v>149</v>
      </c>
      <c r="C29" s="6" t="s">
        <v>631</v>
      </c>
      <c r="D29" s="6" t="s">
        <v>632</v>
      </c>
      <c r="E29" s="6" t="s">
        <v>633</v>
      </c>
      <c r="F29" s="6" t="s">
        <v>151</v>
      </c>
    </row>
    <row r="30" spans="1:6" ht="38" customHeight="1">
      <c r="A30" s="4" t="s">
        <v>152</v>
      </c>
      <c r="B30" s="4" t="s">
        <v>153</v>
      </c>
      <c r="C30" s="4" t="s">
        <v>634</v>
      </c>
      <c r="D30" s="4" t="s">
        <v>635</v>
      </c>
      <c r="E30" s="4" t="s">
        <v>636</v>
      </c>
      <c r="F30" s="4" t="s">
        <v>156</v>
      </c>
    </row>
    <row r="31" spans="1:6" ht="30" customHeight="1">
      <c r="A31" s="6" t="s">
        <v>157</v>
      </c>
      <c r="B31" s="6" t="s">
        <v>158</v>
      </c>
      <c r="C31" s="6" t="s">
        <v>637</v>
      </c>
      <c r="D31" s="6" t="s">
        <v>638</v>
      </c>
      <c r="E31" s="6" t="s">
        <v>639</v>
      </c>
      <c r="F31" s="6" t="s">
        <v>159</v>
      </c>
    </row>
    <row r="32" spans="1:6" ht="38" customHeight="1">
      <c r="A32" s="4" t="s">
        <v>160</v>
      </c>
      <c r="B32" s="4" t="s">
        <v>161</v>
      </c>
      <c r="C32" s="4" t="s">
        <v>640</v>
      </c>
      <c r="D32" s="4" t="s">
        <v>641</v>
      </c>
      <c r="E32" s="4" t="s">
        <v>642</v>
      </c>
      <c r="F32" s="4" t="s">
        <v>162</v>
      </c>
    </row>
    <row r="33" spans="1:6" ht="38" customHeight="1">
      <c r="A33" s="6" t="s">
        <v>163</v>
      </c>
      <c r="B33" s="6" t="s">
        <v>164</v>
      </c>
      <c r="C33" s="6" t="s">
        <v>643</v>
      </c>
      <c r="D33" s="6" t="s">
        <v>644</v>
      </c>
      <c r="E33" s="6" t="s">
        <v>645</v>
      </c>
      <c r="F33" s="6" t="s">
        <v>165</v>
      </c>
    </row>
    <row r="34" spans="1:6" ht="30" customHeight="1">
      <c r="A34" s="4" t="s">
        <v>166</v>
      </c>
      <c r="B34" s="4" t="s">
        <v>167</v>
      </c>
      <c r="C34" s="4" t="s">
        <v>646</v>
      </c>
      <c r="D34" s="4" t="s">
        <v>647</v>
      </c>
      <c r="E34" s="4" t="s">
        <v>648</v>
      </c>
      <c r="F34" s="4" t="s">
        <v>168</v>
      </c>
    </row>
    <row r="35" spans="1:6" ht="38" customHeight="1">
      <c r="A35" s="6" t="s">
        <v>169</v>
      </c>
      <c r="B35" s="6" t="s">
        <v>170</v>
      </c>
      <c r="C35" s="6" t="s">
        <v>649</v>
      </c>
      <c r="D35" s="6" t="s">
        <v>650</v>
      </c>
      <c r="E35" s="6" t="s">
        <v>651</v>
      </c>
      <c r="F35" s="6" t="s">
        <v>171</v>
      </c>
    </row>
    <row r="36" spans="1:6" ht="30" customHeight="1">
      <c r="A36" s="4" t="s">
        <v>172</v>
      </c>
      <c r="B36" s="4" t="s">
        <v>173</v>
      </c>
      <c r="C36" s="4" t="s">
        <v>652</v>
      </c>
      <c r="D36" s="4" t="s">
        <v>653</v>
      </c>
      <c r="E36" s="4" t="s">
        <v>654</v>
      </c>
      <c r="F36" s="4" t="s">
        <v>174</v>
      </c>
    </row>
    <row r="37" spans="1:6" ht="30" customHeight="1">
      <c r="A37" s="6" t="s">
        <v>175</v>
      </c>
      <c r="B37" s="6" t="s">
        <v>176</v>
      </c>
      <c r="C37" s="6" t="s">
        <v>655</v>
      </c>
      <c r="D37" s="6" t="s">
        <v>656</v>
      </c>
      <c r="E37" s="6" t="s">
        <v>657</v>
      </c>
      <c r="F37" s="6" t="s">
        <v>177</v>
      </c>
    </row>
    <row r="38" spans="1:6" ht="38" customHeight="1">
      <c r="A38" s="4" t="s">
        <v>178</v>
      </c>
      <c r="B38" s="4" t="s">
        <v>179</v>
      </c>
      <c r="C38" s="4" t="s">
        <v>658</v>
      </c>
      <c r="D38" s="4" t="s">
        <v>659</v>
      </c>
      <c r="E38" s="4" t="s">
        <v>660</v>
      </c>
      <c r="F38" s="4" t="s">
        <v>181</v>
      </c>
    </row>
    <row r="39" spans="1:6" ht="30" customHeight="1">
      <c r="A39" s="6" t="s">
        <v>182</v>
      </c>
      <c r="B39" s="6" t="s">
        <v>183</v>
      </c>
      <c r="C39" s="6" t="s">
        <v>661</v>
      </c>
      <c r="D39" s="6" t="s">
        <v>662</v>
      </c>
      <c r="E39" s="6" t="s">
        <v>663</v>
      </c>
      <c r="F39" s="6" t="s">
        <v>185</v>
      </c>
    </row>
    <row r="40" spans="1:6" ht="38" customHeight="1">
      <c r="A40" s="4" t="s">
        <v>186</v>
      </c>
      <c r="B40" s="4" t="s">
        <v>187</v>
      </c>
      <c r="C40" s="4" t="s">
        <v>664</v>
      </c>
      <c r="D40" s="4" t="s">
        <v>665</v>
      </c>
      <c r="E40" s="4" t="s">
        <v>572</v>
      </c>
      <c r="F40" s="4" t="s">
        <v>188</v>
      </c>
    </row>
    <row r="41" spans="1:6" ht="38" customHeight="1">
      <c r="A41" s="6" t="s">
        <v>189</v>
      </c>
      <c r="B41" s="6" t="s">
        <v>190</v>
      </c>
      <c r="C41" s="6" t="s">
        <v>666</v>
      </c>
      <c r="D41" s="6" t="s">
        <v>667</v>
      </c>
      <c r="E41" s="6" t="s">
        <v>668</v>
      </c>
      <c r="F41" s="6" t="s">
        <v>192</v>
      </c>
    </row>
    <row r="42" spans="1:6" ht="38" customHeight="1">
      <c r="A42" s="4" t="s">
        <v>193</v>
      </c>
      <c r="B42" s="4" t="s">
        <v>194</v>
      </c>
      <c r="C42" s="4" t="s">
        <v>666</v>
      </c>
      <c r="D42" s="4" t="s">
        <v>669</v>
      </c>
      <c r="E42" s="4" t="s">
        <v>670</v>
      </c>
      <c r="F42" s="4" t="s">
        <v>195</v>
      </c>
    </row>
    <row r="43" spans="1:6" ht="38" customHeight="1">
      <c r="A43" s="6" t="s">
        <v>196</v>
      </c>
      <c r="B43" s="6" t="s">
        <v>197</v>
      </c>
      <c r="C43" s="6" t="s">
        <v>671</v>
      </c>
      <c r="D43" s="6" t="s">
        <v>672</v>
      </c>
      <c r="E43" s="6" t="s">
        <v>673</v>
      </c>
      <c r="F43" s="6" t="s">
        <v>199</v>
      </c>
    </row>
    <row r="44" spans="1:6" ht="30" customHeight="1">
      <c r="A44" s="4" t="s">
        <v>200</v>
      </c>
      <c r="B44" s="4" t="s">
        <v>201</v>
      </c>
      <c r="C44" s="4" t="s">
        <v>674</v>
      </c>
      <c r="D44" s="4" t="s">
        <v>675</v>
      </c>
      <c r="E44" s="4" t="s">
        <v>607</v>
      </c>
      <c r="F44" s="4" t="s">
        <v>202</v>
      </c>
    </row>
    <row r="45" spans="1:6" ht="38" customHeight="1">
      <c r="A45" s="6" t="s">
        <v>203</v>
      </c>
      <c r="B45" s="6" t="s">
        <v>204</v>
      </c>
      <c r="C45" s="6" t="s">
        <v>676</v>
      </c>
      <c r="D45" s="6" t="s">
        <v>677</v>
      </c>
      <c r="E45" s="6" t="s">
        <v>678</v>
      </c>
      <c r="F45" s="6" t="s">
        <v>205</v>
      </c>
    </row>
    <row r="46" spans="1:6" ht="38" customHeight="1">
      <c r="A46" s="4" t="s">
        <v>206</v>
      </c>
      <c r="B46" s="4" t="s">
        <v>207</v>
      </c>
      <c r="C46" s="4" t="s">
        <v>679</v>
      </c>
      <c r="D46" s="4" t="s">
        <v>680</v>
      </c>
      <c r="E46" s="4" t="s">
        <v>681</v>
      </c>
      <c r="F46" s="4" t="s">
        <v>208</v>
      </c>
    </row>
    <row r="47" spans="1:6" ht="38" customHeight="1">
      <c r="A47" s="6" t="s">
        <v>209</v>
      </c>
      <c r="B47" s="6" t="s">
        <v>210</v>
      </c>
      <c r="C47" s="6" t="s">
        <v>682</v>
      </c>
      <c r="D47" s="6" t="s">
        <v>683</v>
      </c>
      <c r="E47" s="6" t="s">
        <v>684</v>
      </c>
      <c r="F47" s="6" t="s">
        <v>211</v>
      </c>
    </row>
    <row r="48" spans="1:6" ht="38" customHeight="1">
      <c r="A48" s="4" t="s">
        <v>212</v>
      </c>
      <c r="B48" s="4" t="s">
        <v>213</v>
      </c>
      <c r="C48" s="4" t="s">
        <v>685</v>
      </c>
      <c r="D48" s="4" t="s">
        <v>686</v>
      </c>
      <c r="E48" s="4" t="s">
        <v>687</v>
      </c>
      <c r="F48" s="4" t="s">
        <v>214</v>
      </c>
    </row>
    <row r="49" spans="1:6" ht="38" customHeight="1">
      <c r="A49" s="6" t="s">
        <v>215</v>
      </c>
      <c r="B49" s="6" t="s">
        <v>216</v>
      </c>
      <c r="C49" s="6" t="s">
        <v>688</v>
      </c>
      <c r="D49" s="6" t="s">
        <v>689</v>
      </c>
      <c r="E49" s="6" t="s">
        <v>690</v>
      </c>
      <c r="F49" s="6" t="s">
        <v>220</v>
      </c>
    </row>
    <row r="50" spans="1:6" ht="38" customHeight="1">
      <c r="A50" s="4" t="s">
        <v>221</v>
      </c>
      <c r="B50" s="4" t="s">
        <v>222</v>
      </c>
      <c r="C50" s="4" t="s">
        <v>691</v>
      </c>
      <c r="D50" s="4" t="s">
        <v>692</v>
      </c>
      <c r="E50" s="4" t="s">
        <v>693</v>
      </c>
      <c r="F50" s="4" t="s">
        <v>224</v>
      </c>
    </row>
    <row r="51" spans="1:6" ht="38" customHeight="1">
      <c r="A51" s="6" t="s">
        <v>225</v>
      </c>
      <c r="B51" s="6" t="s">
        <v>226</v>
      </c>
      <c r="C51" s="6" t="s">
        <v>694</v>
      </c>
      <c r="D51" s="6" t="s">
        <v>695</v>
      </c>
      <c r="E51" s="6" t="s">
        <v>696</v>
      </c>
      <c r="F51" s="6" t="s">
        <v>229</v>
      </c>
    </row>
    <row r="52" spans="1:6" ht="38" customHeight="1">
      <c r="A52" s="4" t="s">
        <v>230</v>
      </c>
      <c r="B52" s="4" t="s">
        <v>231</v>
      </c>
      <c r="C52" s="4" t="s">
        <v>697</v>
      </c>
      <c r="D52" s="4" t="s">
        <v>698</v>
      </c>
      <c r="E52" s="4" t="s">
        <v>699</v>
      </c>
      <c r="F52" s="4" t="s">
        <v>234</v>
      </c>
    </row>
    <row r="53" spans="1:6" ht="30" customHeight="1">
      <c r="A53" s="6" t="s">
        <v>235</v>
      </c>
      <c r="B53" s="6" t="s">
        <v>236</v>
      </c>
      <c r="C53" s="6" t="s">
        <v>700</v>
      </c>
      <c r="D53" s="6" t="s">
        <v>701</v>
      </c>
      <c r="E53" s="6" t="s">
        <v>702</v>
      </c>
      <c r="F53" s="6" t="s">
        <v>238</v>
      </c>
    </row>
    <row r="54" spans="1:6" ht="38" customHeight="1">
      <c r="A54" s="4" t="s">
        <v>239</v>
      </c>
      <c r="B54" s="4" t="s">
        <v>240</v>
      </c>
      <c r="C54" s="4" t="s">
        <v>703</v>
      </c>
      <c r="D54" s="4" t="s">
        <v>704</v>
      </c>
      <c r="E54" s="4" t="s">
        <v>705</v>
      </c>
      <c r="F54" s="4" t="s">
        <v>243</v>
      </c>
    </row>
    <row r="55" spans="1:6" ht="38" customHeight="1">
      <c r="A55" s="6" t="s">
        <v>244</v>
      </c>
      <c r="B55" s="6" t="s">
        <v>245</v>
      </c>
      <c r="C55" s="6" t="s">
        <v>706</v>
      </c>
      <c r="D55" s="6" t="s">
        <v>707</v>
      </c>
      <c r="E55" s="6" t="s">
        <v>708</v>
      </c>
      <c r="F55" s="6" t="s">
        <v>247</v>
      </c>
    </row>
    <row r="56" spans="1:6" ht="38" customHeight="1">
      <c r="A56" s="4" t="s">
        <v>248</v>
      </c>
      <c r="B56" s="4" t="s">
        <v>249</v>
      </c>
      <c r="C56" s="4" t="s">
        <v>709</v>
      </c>
      <c r="D56" s="4" t="s">
        <v>710</v>
      </c>
      <c r="E56" s="4" t="s">
        <v>711</v>
      </c>
      <c r="F56" s="4" t="s">
        <v>251</v>
      </c>
    </row>
    <row r="57" spans="1:6" ht="38" customHeight="1">
      <c r="A57" s="6" t="s">
        <v>252</v>
      </c>
      <c r="B57" s="6" t="s">
        <v>253</v>
      </c>
      <c r="C57" s="6" t="s">
        <v>712</v>
      </c>
      <c r="D57" s="6" t="s">
        <v>713</v>
      </c>
      <c r="E57" s="6" t="s">
        <v>714</v>
      </c>
      <c r="F57" s="6" t="s">
        <v>254</v>
      </c>
    </row>
    <row r="58" spans="1:6" ht="38" customHeight="1">
      <c r="A58" s="4" t="s">
        <v>255</v>
      </c>
      <c r="B58" s="4" t="s">
        <v>256</v>
      </c>
      <c r="C58" s="4" t="s">
        <v>715</v>
      </c>
      <c r="D58" s="4" t="s">
        <v>716</v>
      </c>
      <c r="E58" s="4" t="s">
        <v>717</v>
      </c>
      <c r="F58" s="4" t="s">
        <v>258</v>
      </c>
    </row>
    <row r="59" spans="1:6" ht="38" customHeight="1">
      <c r="A59" s="6" t="s">
        <v>259</v>
      </c>
      <c r="B59" s="6" t="s">
        <v>260</v>
      </c>
      <c r="C59" s="6" t="s">
        <v>718</v>
      </c>
      <c r="D59" s="6" t="s">
        <v>719</v>
      </c>
      <c r="E59" s="6" t="s">
        <v>720</v>
      </c>
      <c r="F59" s="6" t="s">
        <v>261</v>
      </c>
    </row>
    <row r="60" spans="1:6" ht="30" customHeight="1">
      <c r="A60" s="4" t="s">
        <v>262</v>
      </c>
      <c r="B60" s="4" t="s">
        <v>263</v>
      </c>
      <c r="C60" s="4" t="s">
        <v>461</v>
      </c>
      <c r="D60" s="4" t="s">
        <v>461</v>
      </c>
      <c r="E60" s="4" t="s">
        <v>461</v>
      </c>
      <c r="F60" s="4" t="s">
        <v>267</v>
      </c>
    </row>
    <row r="61" spans="1:6" ht="30" customHeight="1">
      <c r="A61" s="6" t="s">
        <v>268</v>
      </c>
      <c r="B61" s="6" t="s">
        <v>269</v>
      </c>
      <c r="C61" s="6" t="s">
        <v>461</v>
      </c>
      <c r="D61" s="6" t="s">
        <v>461</v>
      </c>
      <c r="E61" s="6" t="s">
        <v>461</v>
      </c>
      <c r="F61" s="6" t="s">
        <v>267</v>
      </c>
    </row>
    <row r="62" spans="1:6" ht="30" customHeight="1">
      <c r="A62" s="4" t="s">
        <v>270</v>
      </c>
      <c r="B62" s="4" t="s">
        <v>271</v>
      </c>
      <c r="C62" s="4" t="s">
        <v>461</v>
      </c>
      <c r="D62" s="4" t="s">
        <v>461</v>
      </c>
      <c r="E62" s="4" t="s">
        <v>461</v>
      </c>
      <c r="F62" s="4" t="s">
        <v>267</v>
      </c>
    </row>
    <row r="63" spans="1:6" ht="30" customHeight="1">
      <c r="A63" s="6" t="s">
        <v>272</v>
      </c>
      <c r="B63" s="6" t="s">
        <v>273</v>
      </c>
      <c r="C63" s="6" t="s">
        <v>461</v>
      </c>
      <c r="D63" s="6" t="s">
        <v>461</v>
      </c>
      <c r="E63" s="6" t="s">
        <v>461</v>
      </c>
      <c r="F63" s="6" t="s">
        <v>267</v>
      </c>
    </row>
    <row r="64" spans="1:6" ht="30" customHeight="1">
      <c r="A64" s="4" t="s">
        <v>274</v>
      </c>
      <c r="B64" s="4" t="s">
        <v>275</v>
      </c>
      <c r="C64" s="4" t="s">
        <v>461</v>
      </c>
      <c r="D64" s="4" t="s">
        <v>461</v>
      </c>
      <c r="E64" s="4" t="s">
        <v>461</v>
      </c>
      <c r="F64" s="4" t="s">
        <v>267</v>
      </c>
    </row>
    <row r="65" spans="1:6" ht="30" customHeight="1">
      <c r="A65" s="6" t="s">
        <v>276</v>
      </c>
      <c r="B65" s="6" t="s">
        <v>277</v>
      </c>
      <c r="C65" s="6" t="s">
        <v>461</v>
      </c>
      <c r="D65" s="6" t="s">
        <v>461</v>
      </c>
      <c r="E65" s="6" t="s">
        <v>461</v>
      </c>
      <c r="F65" s="6" t="s">
        <v>267</v>
      </c>
    </row>
    <row r="66" spans="1:6" ht="30" customHeight="1">
      <c r="A66" s="4" t="s">
        <v>278</v>
      </c>
      <c r="B66" s="4" t="s">
        <v>279</v>
      </c>
      <c r="C66" s="4" t="s">
        <v>461</v>
      </c>
      <c r="D66" s="4" t="s">
        <v>461</v>
      </c>
      <c r="E66" s="4" t="s">
        <v>461</v>
      </c>
      <c r="F66" s="4" t="s">
        <v>267</v>
      </c>
    </row>
    <row r="67" spans="1:6" ht="30" customHeight="1">
      <c r="A67" s="6" t="s">
        <v>280</v>
      </c>
      <c r="B67" s="6" t="s">
        <v>281</v>
      </c>
      <c r="C67" s="6" t="s">
        <v>461</v>
      </c>
      <c r="D67" s="6" t="s">
        <v>461</v>
      </c>
      <c r="E67" s="6" t="s">
        <v>461</v>
      </c>
      <c r="F67" s="6" t="s">
        <v>267</v>
      </c>
    </row>
    <row r="68" spans="1:6" ht="30" customHeight="1">
      <c r="A68" s="4" t="s">
        <v>282</v>
      </c>
      <c r="B68" s="4" t="s">
        <v>283</v>
      </c>
      <c r="C68" s="4" t="s">
        <v>461</v>
      </c>
      <c r="D68" s="4" t="s">
        <v>461</v>
      </c>
      <c r="E68" s="4" t="s">
        <v>461</v>
      </c>
      <c r="F68" s="4" t="s">
        <v>267</v>
      </c>
    </row>
    <row r="69" spans="1:6" ht="30" customHeight="1">
      <c r="A69" s="6" t="s">
        <v>284</v>
      </c>
      <c r="B69" s="6" t="s">
        <v>285</v>
      </c>
      <c r="C69" s="6" t="s">
        <v>461</v>
      </c>
      <c r="D69" s="6" t="s">
        <v>461</v>
      </c>
      <c r="E69" s="6" t="s">
        <v>461</v>
      </c>
      <c r="F69" s="6" t="s">
        <v>267</v>
      </c>
    </row>
    <row r="70" spans="1:6" ht="30" customHeight="1">
      <c r="A70" s="4" t="s">
        <v>286</v>
      </c>
      <c r="B70" s="4" t="s">
        <v>287</v>
      </c>
      <c r="C70" s="4" t="s">
        <v>461</v>
      </c>
      <c r="D70" s="4" t="s">
        <v>461</v>
      </c>
      <c r="E70" s="4" t="s">
        <v>461</v>
      </c>
      <c r="F70" s="4" t="s">
        <v>267</v>
      </c>
    </row>
    <row r="71" spans="1:6" ht="30" customHeight="1">
      <c r="A71" s="6" t="s">
        <v>288</v>
      </c>
      <c r="B71" s="6" t="s">
        <v>289</v>
      </c>
      <c r="C71" s="6" t="s">
        <v>461</v>
      </c>
      <c r="D71" s="6" t="s">
        <v>461</v>
      </c>
      <c r="E71" s="6" t="s">
        <v>461</v>
      </c>
      <c r="F71" s="6" t="s">
        <v>267</v>
      </c>
    </row>
    <row r="72" spans="1:6" ht="30" customHeight="1">
      <c r="A72" s="4" t="s">
        <v>290</v>
      </c>
      <c r="B72" s="4" t="s">
        <v>291</v>
      </c>
      <c r="C72" s="4" t="s">
        <v>461</v>
      </c>
      <c r="D72" s="4" t="s">
        <v>461</v>
      </c>
      <c r="E72" s="4" t="s">
        <v>461</v>
      </c>
      <c r="F72" s="4" t="s">
        <v>267</v>
      </c>
    </row>
    <row r="73" spans="1:6" ht="30" customHeight="1">
      <c r="A73" s="6" t="s">
        <v>292</v>
      </c>
      <c r="B73" s="6" t="s">
        <v>293</v>
      </c>
      <c r="C73" s="6" t="s">
        <v>461</v>
      </c>
      <c r="D73" s="6" t="s">
        <v>461</v>
      </c>
      <c r="E73" s="6" t="s">
        <v>461</v>
      </c>
      <c r="F73" s="6" t="s">
        <v>267</v>
      </c>
    </row>
    <row r="74" spans="1:6" ht="30" customHeight="1">
      <c r="A74" s="4" t="s">
        <v>294</v>
      </c>
      <c r="B74" s="4" t="s">
        <v>295</v>
      </c>
      <c r="C74" s="4" t="s">
        <v>461</v>
      </c>
      <c r="D74" s="4" t="s">
        <v>461</v>
      </c>
      <c r="E74" s="4" t="s">
        <v>461</v>
      </c>
      <c r="F74" s="4" t="s">
        <v>267</v>
      </c>
    </row>
    <row r="75" spans="1:6" ht="30" customHeight="1">
      <c r="A75" s="6" t="s">
        <v>296</v>
      </c>
      <c r="B75" s="6" t="s">
        <v>297</v>
      </c>
      <c r="C75" s="6" t="s">
        <v>461</v>
      </c>
      <c r="D75" s="6" t="s">
        <v>461</v>
      </c>
      <c r="E75" s="6" t="s">
        <v>461</v>
      </c>
      <c r="F75" s="6" t="s">
        <v>267</v>
      </c>
    </row>
    <row r="76" spans="1:6" ht="30" customHeight="1">
      <c r="A76" s="4" t="s">
        <v>298</v>
      </c>
      <c r="B76" s="4" t="s">
        <v>299</v>
      </c>
      <c r="C76" s="4" t="s">
        <v>461</v>
      </c>
      <c r="D76" s="4" t="s">
        <v>461</v>
      </c>
      <c r="E76" s="4" t="s">
        <v>461</v>
      </c>
      <c r="F76" s="4" t="s">
        <v>267</v>
      </c>
    </row>
    <row r="77" spans="1:6" ht="30" customHeight="1">
      <c r="A77" s="6" t="s">
        <v>300</v>
      </c>
      <c r="B77" s="6" t="s">
        <v>301</v>
      </c>
      <c r="C77" s="6" t="s">
        <v>461</v>
      </c>
      <c r="D77" s="6" t="s">
        <v>461</v>
      </c>
      <c r="E77" s="6" t="s">
        <v>461</v>
      </c>
      <c r="F77" s="6" t="s">
        <v>267</v>
      </c>
    </row>
    <row r="78" spans="1:6" ht="30" customHeight="1">
      <c r="A78" s="4" t="s">
        <v>302</v>
      </c>
      <c r="B78" s="4" t="s">
        <v>303</v>
      </c>
      <c r="C78" s="4" t="s">
        <v>461</v>
      </c>
      <c r="D78" s="4" t="s">
        <v>461</v>
      </c>
      <c r="E78" s="4" t="s">
        <v>461</v>
      </c>
      <c r="F78" s="4" t="s">
        <v>267</v>
      </c>
    </row>
    <row r="79" spans="1:6" ht="30" customHeight="1">
      <c r="A79" s="6" t="s">
        <v>304</v>
      </c>
      <c r="B79" s="6" t="s">
        <v>305</v>
      </c>
      <c r="C79" s="6" t="s">
        <v>461</v>
      </c>
      <c r="D79" s="6" t="s">
        <v>461</v>
      </c>
      <c r="E79" s="6" t="s">
        <v>461</v>
      </c>
      <c r="F79" s="6" t="s">
        <v>267</v>
      </c>
    </row>
    <row r="80" spans="1:6" ht="30" customHeight="1">
      <c r="A80" s="4" t="s">
        <v>306</v>
      </c>
      <c r="B80" s="4" t="s">
        <v>307</v>
      </c>
      <c r="C80" s="4" t="s">
        <v>461</v>
      </c>
      <c r="D80" s="4" t="s">
        <v>461</v>
      </c>
      <c r="E80" s="4" t="s">
        <v>461</v>
      </c>
      <c r="F80" s="4" t="s">
        <v>267</v>
      </c>
    </row>
    <row r="81" spans="1:6" ht="30" customHeight="1">
      <c r="A81" s="6" t="s">
        <v>308</v>
      </c>
      <c r="B81" s="6" t="s">
        <v>309</v>
      </c>
      <c r="C81" s="6" t="s">
        <v>461</v>
      </c>
      <c r="D81" s="6" t="s">
        <v>461</v>
      </c>
      <c r="E81" s="6" t="s">
        <v>461</v>
      </c>
      <c r="F81" s="6" t="s">
        <v>267</v>
      </c>
    </row>
    <row r="82" spans="1:6" ht="30" customHeight="1">
      <c r="A82" s="4" t="s">
        <v>310</v>
      </c>
      <c r="B82" s="4" t="s">
        <v>311</v>
      </c>
      <c r="C82" s="4" t="s">
        <v>461</v>
      </c>
      <c r="D82" s="4" t="s">
        <v>461</v>
      </c>
      <c r="E82" s="4" t="s">
        <v>461</v>
      </c>
      <c r="F82" s="4" t="s">
        <v>267</v>
      </c>
    </row>
    <row r="83" spans="1:6" ht="30" customHeight="1">
      <c r="A83" s="6" t="s">
        <v>312</v>
      </c>
      <c r="B83" s="6" t="s">
        <v>313</v>
      </c>
      <c r="C83" s="6" t="s">
        <v>461</v>
      </c>
      <c r="D83" s="6" t="s">
        <v>461</v>
      </c>
      <c r="E83" s="6" t="s">
        <v>461</v>
      </c>
      <c r="F83" s="6" t="s">
        <v>267</v>
      </c>
    </row>
    <row r="84" spans="1:6" ht="30" customHeight="1">
      <c r="A84" s="4" t="s">
        <v>314</v>
      </c>
      <c r="B84" s="4" t="s">
        <v>315</v>
      </c>
      <c r="C84" s="4" t="s">
        <v>461</v>
      </c>
      <c r="D84" s="4" t="s">
        <v>461</v>
      </c>
      <c r="E84" s="4" t="s">
        <v>461</v>
      </c>
      <c r="F84" s="4" t="s">
        <v>267</v>
      </c>
    </row>
    <row r="85" spans="1:6" ht="30" customHeight="1">
      <c r="A85" s="6" t="s">
        <v>316</v>
      </c>
      <c r="B85" s="6" t="s">
        <v>317</v>
      </c>
      <c r="C85" s="6" t="s">
        <v>461</v>
      </c>
      <c r="D85" s="6" t="s">
        <v>461</v>
      </c>
      <c r="E85" s="6" t="s">
        <v>461</v>
      </c>
      <c r="F85" s="6" t="s">
        <v>267</v>
      </c>
    </row>
    <row r="86" spans="1:6" ht="30" customHeight="1">
      <c r="A86" s="4" t="s">
        <v>318</v>
      </c>
      <c r="B86" s="4" t="s">
        <v>319</v>
      </c>
      <c r="C86" s="4" t="s">
        <v>461</v>
      </c>
      <c r="D86" s="4" t="s">
        <v>461</v>
      </c>
      <c r="E86" s="4" t="s">
        <v>461</v>
      </c>
      <c r="F86" s="4" t="s">
        <v>267</v>
      </c>
    </row>
    <row r="87" spans="1:6" ht="30" customHeight="1">
      <c r="A87" s="6" t="s">
        <v>320</v>
      </c>
      <c r="B87" s="6" t="s">
        <v>321</v>
      </c>
      <c r="C87" s="6" t="s">
        <v>461</v>
      </c>
      <c r="D87" s="6" t="s">
        <v>461</v>
      </c>
      <c r="E87" s="6" t="s">
        <v>461</v>
      </c>
      <c r="F87" s="6" t="s">
        <v>267</v>
      </c>
    </row>
    <row r="88" spans="1:6" ht="30" customHeight="1">
      <c r="A88" s="4" t="s">
        <v>322</v>
      </c>
      <c r="B88" s="4" t="s">
        <v>323</v>
      </c>
      <c r="C88" s="4" t="s">
        <v>461</v>
      </c>
      <c r="D88" s="4" t="s">
        <v>461</v>
      </c>
      <c r="E88" s="4" t="s">
        <v>461</v>
      </c>
      <c r="F88" s="4" t="s">
        <v>267</v>
      </c>
    </row>
    <row r="89" spans="1:6" ht="30" customHeight="1">
      <c r="A89" s="6" t="s">
        <v>324</v>
      </c>
      <c r="B89" s="6" t="s">
        <v>325</v>
      </c>
      <c r="C89" s="6" t="s">
        <v>461</v>
      </c>
      <c r="D89" s="6" t="s">
        <v>461</v>
      </c>
      <c r="E89" s="6" t="s">
        <v>461</v>
      </c>
      <c r="F89" s="6" t="s">
        <v>267</v>
      </c>
    </row>
    <row r="90" spans="1:6" ht="30" customHeight="1">
      <c r="A90" s="4" t="s">
        <v>326</v>
      </c>
      <c r="B90" s="4" t="s">
        <v>327</v>
      </c>
      <c r="C90" s="4" t="s">
        <v>461</v>
      </c>
      <c r="D90" s="4" t="s">
        <v>461</v>
      </c>
      <c r="E90" s="4" t="s">
        <v>461</v>
      </c>
      <c r="F90" s="4" t="s">
        <v>267</v>
      </c>
    </row>
    <row r="91" spans="1:6" ht="30" customHeight="1">
      <c r="A91" s="6" t="s">
        <v>328</v>
      </c>
      <c r="B91" s="6" t="s">
        <v>329</v>
      </c>
      <c r="C91" s="6" t="s">
        <v>461</v>
      </c>
      <c r="D91" s="6" t="s">
        <v>461</v>
      </c>
      <c r="E91" s="6" t="s">
        <v>461</v>
      </c>
      <c r="F91" s="6" t="s">
        <v>267</v>
      </c>
    </row>
    <row r="92" spans="1:6" ht="30" customHeight="1">
      <c r="A92" s="4" t="s">
        <v>330</v>
      </c>
      <c r="B92" s="4" t="s">
        <v>331</v>
      </c>
      <c r="C92" s="4" t="s">
        <v>461</v>
      </c>
      <c r="D92" s="4" t="s">
        <v>461</v>
      </c>
      <c r="E92" s="4" t="s">
        <v>461</v>
      </c>
      <c r="F92" s="4" t="s">
        <v>267</v>
      </c>
    </row>
    <row r="93" spans="1:6" ht="30" customHeight="1">
      <c r="A93" s="6" t="s">
        <v>332</v>
      </c>
      <c r="B93" s="6" t="s">
        <v>333</v>
      </c>
      <c r="C93" s="6" t="s">
        <v>461</v>
      </c>
      <c r="D93" s="6" t="s">
        <v>461</v>
      </c>
      <c r="E93" s="6" t="s">
        <v>461</v>
      </c>
      <c r="F93" s="6" t="s">
        <v>267</v>
      </c>
    </row>
    <row r="94" spans="1:6" ht="30" customHeight="1">
      <c r="A94" s="4" t="s">
        <v>334</v>
      </c>
      <c r="B94" s="4" t="s">
        <v>335</v>
      </c>
      <c r="C94" s="4" t="s">
        <v>461</v>
      </c>
      <c r="D94" s="4" t="s">
        <v>461</v>
      </c>
      <c r="E94" s="4" t="s">
        <v>461</v>
      </c>
      <c r="F94" s="4" t="s">
        <v>267</v>
      </c>
    </row>
    <row r="95" spans="1:6" ht="30" customHeight="1">
      <c r="A95" s="6" t="s">
        <v>336</v>
      </c>
      <c r="B95" s="6" t="s">
        <v>337</v>
      </c>
      <c r="C95" s="6" t="s">
        <v>461</v>
      </c>
      <c r="D95" s="6" t="s">
        <v>461</v>
      </c>
      <c r="E95" s="6" t="s">
        <v>461</v>
      </c>
      <c r="F95" s="6" t="s">
        <v>267</v>
      </c>
    </row>
    <row r="96" spans="1:6" ht="30" customHeight="1">
      <c r="A96" s="4" t="s">
        <v>338</v>
      </c>
      <c r="B96" s="4" t="s">
        <v>339</v>
      </c>
      <c r="C96" s="4" t="s">
        <v>461</v>
      </c>
      <c r="D96" s="4" t="s">
        <v>461</v>
      </c>
      <c r="E96" s="4" t="s">
        <v>461</v>
      </c>
      <c r="F96" s="4" t="s">
        <v>267</v>
      </c>
    </row>
    <row r="97" spans="1:6" ht="30" customHeight="1">
      <c r="A97" s="6" t="s">
        <v>340</v>
      </c>
      <c r="B97" s="6" t="s">
        <v>341</v>
      </c>
      <c r="C97" s="6" t="s">
        <v>461</v>
      </c>
      <c r="D97" s="6" t="s">
        <v>461</v>
      </c>
      <c r="E97" s="6" t="s">
        <v>461</v>
      </c>
      <c r="F97" s="6" t="s">
        <v>267</v>
      </c>
    </row>
    <row r="98" spans="1:6" ht="30" customHeight="1">
      <c r="A98" s="4" t="s">
        <v>342</v>
      </c>
      <c r="B98" s="4" t="s">
        <v>343</v>
      </c>
      <c r="C98" s="4" t="s">
        <v>461</v>
      </c>
      <c r="D98" s="4" t="s">
        <v>461</v>
      </c>
      <c r="E98" s="4" t="s">
        <v>461</v>
      </c>
      <c r="F98" s="4" t="s">
        <v>267</v>
      </c>
    </row>
    <row r="99" spans="1:6" ht="30" customHeight="1">
      <c r="A99" s="6" t="s">
        <v>344</v>
      </c>
      <c r="B99" s="6" t="s">
        <v>345</v>
      </c>
      <c r="C99" s="6" t="s">
        <v>461</v>
      </c>
      <c r="D99" s="6" t="s">
        <v>461</v>
      </c>
      <c r="E99" s="6" t="s">
        <v>461</v>
      </c>
      <c r="F99" s="6" t="s">
        <v>267</v>
      </c>
    </row>
    <row r="100" spans="1:6" ht="30" customHeight="1">
      <c r="A100" s="4" t="s">
        <v>346</v>
      </c>
      <c r="B100" s="4" t="s">
        <v>347</v>
      </c>
      <c r="C100" s="4" t="s">
        <v>461</v>
      </c>
      <c r="D100" s="4" t="s">
        <v>461</v>
      </c>
      <c r="E100" s="4" t="s">
        <v>461</v>
      </c>
      <c r="F100" s="4" t="s">
        <v>267</v>
      </c>
    </row>
    <row r="101" spans="1:6" ht="30" customHeight="1">
      <c r="A101" s="6" t="s">
        <v>348</v>
      </c>
      <c r="B101" s="6" t="s">
        <v>349</v>
      </c>
      <c r="C101" s="6" t="s">
        <v>461</v>
      </c>
      <c r="D101" s="6" t="s">
        <v>461</v>
      </c>
      <c r="E101" s="6" t="s">
        <v>461</v>
      </c>
      <c r="F101" s="6" t="s">
        <v>267</v>
      </c>
    </row>
    <row r="102" spans="1:6" ht="30" customHeight="1">
      <c r="A102" s="4" t="s">
        <v>350</v>
      </c>
      <c r="B102" s="4" t="s">
        <v>351</v>
      </c>
      <c r="C102" s="4" t="s">
        <v>461</v>
      </c>
      <c r="D102" s="4" t="s">
        <v>461</v>
      </c>
      <c r="E102" s="4" t="s">
        <v>461</v>
      </c>
      <c r="F102" s="4" t="s">
        <v>267</v>
      </c>
    </row>
    <row r="103" spans="1:6" ht="30" customHeight="1">
      <c r="A103" s="6" t="s">
        <v>352</v>
      </c>
      <c r="B103" s="6" t="s">
        <v>353</v>
      </c>
      <c r="C103" s="6" t="s">
        <v>461</v>
      </c>
      <c r="D103" s="6" t="s">
        <v>461</v>
      </c>
      <c r="E103" s="6" t="s">
        <v>461</v>
      </c>
      <c r="F103" s="6" t="s">
        <v>267</v>
      </c>
    </row>
    <row r="104" spans="1:6" ht="30" customHeight="1">
      <c r="A104" s="4" t="s">
        <v>356</v>
      </c>
      <c r="B104" s="4" t="s">
        <v>357</v>
      </c>
      <c r="C104" s="4" t="s">
        <v>461</v>
      </c>
      <c r="D104" s="4" t="s">
        <v>461</v>
      </c>
      <c r="E104" s="4" t="s">
        <v>461</v>
      </c>
      <c r="F104" s="4" t="s">
        <v>267</v>
      </c>
    </row>
    <row r="105" spans="1:6" ht="30" customHeight="1">
      <c r="A105" s="6" t="s">
        <v>358</v>
      </c>
      <c r="B105" s="6" t="s">
        <v>359</v>
      </c>
      <c r="C105" s="6" t="s">
        <v>461</v>
      </c>
      <c r="D105" s="6" t="s">
        <v>461</v>
      </c>
      <c r="E105" s="6" t="s">
        <v>461</v>
      </c>
      <c r="F105" s="6" t="s">
        <v>267</v>
      </c>
    </row>
    <row r="106" spans="1:6" ht="30" customHeight="1">
      <c r="A106" s="4" t="s">
        <v>360</v>
      </c>
      <c r="B106" s="4" t="s">
        <v>361</v>
      </c>
      <c r="C106" s="4" t="s">
        <v>461</v>
      </c>
      <c r="D106" s="4" t="s">
        <v>461</v>
      </c>
      <c r="E106" s="4" t="s">
        <v>461</v>
      </c>
      <c r="F106" s="4" t="s">
        <v>267</v>
      </c>
    </row>
    <row r="107" spans="1:6" ht="30" customHeight="1">
      <c r="A107" s="6" t="s">
        <v>362</v>
      </c>
      <c r="B107" s="6" t="s">
        <v>363</v>
      </c>
      <c r="C107" s="6" t="s">
        <v>461</v>
      </c>
      <c r="D107" s="6" t="s">
        <v>461</v>
      </c>
      <c r="E107" s="6" t="s">
        <v>461</v>
      </c>
      <c r="F107" s="6" t="s">
        <v>267</v>
      </c>
    </row>
    <row r="108" spans="1:6" ht="30" customHeight="1">
      <c r="A108" s="4" t="s">
        <v>365</v>
      </c>
      <c r="B108" s="4" t="s">
        <v>366</v>
      </c>
      <c r="C108" s="4" t="s">
        <v>461</v>
      </c>
      <c r="D108" s="4" t="s">
        <v>461</v>
      </c>
      <c r="E108" s="4" t="s">
        <v>461</v>
      </c>
      <c r="F108" s="4" t="s">
        <v>267</v>
      </c>
    </row>
    <row r="109" spans="1:6" ht="30" customHeight="1">
      <c r="A109" s="6" t="s">
        <v>367</v>
      </c>
      <c r="B109" s="6" t="s">
        <v>368</v>
      </c>
      <c r="C109" s="6" t="s">
        <v>461</v>
      </c>
      <c r="D109" s="6" t="s">
        <v>461</v>
      </c>
      <c r="E109" s="6" t="s">
        <v>461</v>
      </c>
      <c r="F109" s="6" t="s">
        <v>267</v>
      </c>
    </row>
    <row r="110" spans="1:6" ht="30" customHeight="1">
      <c r="A110" s="4" t="s">
        <v>369</v>
      </c>
      <c r="B110" s="4" t="s">
        <v>370</v>
      </c>
      <c r="C110" s="4" t="s">
        <v>461</v>
      </c>
      <c r="D110" s="4" t="s">
        <v>461</v>
      </c>
      <c r="E110" s="4" t="s">
        <v>461</v>
      </c>
      <c r="F110" s="4" t="s">
        <v>267</v>
      </c>
    </row>
    <row r="111" spans="1:6" ht="30" customHeight="1">
      <c r="A111" s="6" t="s">
        <v>371</v>
      </c>
      <c r="B111" s="6" t="s">
        <v>372</v>
      </c>
      <c r="C111" s="6" t="s">
        <v>461</v>
      </c>
      <c r="D111" s="6" t="s">
        <v>461</v>
      </c>
      <c r="E111" s="6" t="s">
        <v>461</v>
      </c>
      <c r="F111" s="6" t="s">
        <v>267</v>
      </c>
    </row>
    <row r="112" spans="1:6" ht="30" customHeight="1">
      <c r="A112" s="4" t="s">
        <v>373</v>
      </c>
      <c r="B112" s="4" t="s">
        <v>374</v>
      </c>
      <c r="C112" s="4" t="s">
        <v>461</v>
      </c>
      <c r="D112" s="4" t="s">
        <v>461</v>
      </c>
      <c r="E112" s="4" t="s">
        <v>461</v>
      </c>
      <c r="F112" s="4" t="s">
        <v>267</v>
      </c>
    </row>
    <row r="113" spans="1:6" ht="30" customHeight="1">
      <c r="A113" s="6" t="s">
        <v>375</v>
      </c>
      <c r="B113" s="6" t="s">
        <v>376</v>
      </c>
      <c r="C113" s="6" t="s">
        <v>461</v>
      </c>
      <c r="D113" s="6" t="s">
        <v>461</v>
      </c>
      <c r="E113" s="6" t="s">
        <v>461</v>
      </c>
      <c r="F113" s="6" t="s">
        <v>267</v>
      </c>
    </row>
    <row r="114" spans="1:6" ht="30" customHeight="1">
      <c r="A114" s="4" t="s">
        <v>377</v>
      </c>
      <c r="B114" s="4" t="s">
        <v>378</v>
      </c>
      <c r="C114" s="4" t="s">
        <v>461</v>
      </c>
      <c r="D114" s="4" t="s">
        <v>461</v>
      </c>
      <c r="E114" s="4" t="s">
        <v>461</v>
      </c>
      <c r="F114" s="4" t="s">
        <v>267</v>
      </c>
    </row>
    <row r="115" spans="1:6" ht="30" customHeight="1">
      <c r="A115" s="6" t="s">
        <v>379</v>
      </c>
      <c r="B115" s="6" t="s">
        <v>380</v>
      </c>
      <c r="C115" s="6" t="s">
        <v>461</v>
      </c>
      <c r="D115" s="6" t="s">
        <v>461</v>
      </c>
      <c r="E115" s="6" t="s">
        <v>461</v>
      </c>
      <c r="F115" s="6" t="s">
        <v>267</v>
      </c>
    </row>
    <row r="116" spans="1:6" ht="38" customHeight="1">
      <c r="A116" s="4" t="s">
        <v>381</v>
      </c>
      <c r="B116" s="4" t="s">
        <v>382</v>
      </c>
      <c r="C116" s="4" t="s">
        <v>461</v>
      </c>
      <c r="D116" s="4" t="s">
        <v>461</v>
      </c>
      <c r="E116" s="4" t="s">
        <v>461</v>
      </c>
      <c r="F116" s="4" t="s">
        <v>267</v>
      </c>
    </row>
    <row r="117" spans="1:6" ht="30" customHeight="1">
      <c r="A117" s="6" t="s">
        <v>384</v>
      </c>
      <c r="B117" s="6" t="s">
        <v>385</v>
      </c>
      <c r="C117" s="6" t="s">
        <v>461</v>
      </c>
      <c r="D117" s="6" t="s">
        <v>461</v>
      </c>
      <c r="E117" s="6" t="s">
        <v>461</v>
      </c>
      <c r="F117" s="6" t="s">
        <v>267</v>
      </c>
    </row>
    <row r="118" spans="1:6" ht="30" customHeight="1">
      <c r="A118" s="4" t="s">
        <v>386</v>
      </c>
      <c r="B118" s="4" t="s">
        <v>387</v>
      </c>
      <c r="C118" s="4" t="s">
        <v>461</v>
      </c>
      <c r="D118" s="4" t="s">
        <v>461</v>
      </c>
      <c r="E118" s="4" t="s">
        <v>461</v>
      </c>
      <c r="F118" s="4" t="s">
        <v>267</v>
      </c>
    </row>
    <row r="119" spans="1:6" ht="38" customHeight="1">
      <c r="A119" s="6" t="s">
        <v>388</v>
      </c>
      <c r="B119" s="6" t="s">
        <v>389</v>
      </c>
      <c r="C119" s="6" t="s">
        <v>461</v>
      </c>
      <c r="D119" s="6" t="s">
        <v>461</v>
      </c>
      <c r="E119" s="6" t="s">
        <v>461</v>
      </c>
      <c r="F119" s="6" t="s">
        <v>267</v>
      </c>
    </row>
    <row r="120" spans="1:6" ht="30" customHeight="1">
      <c r="A120" s="4" t="s">
        <v>391</v>
      </c>
      <c r="B120" s="4" t="s">
        <v>392</v>
      </c>
      <c r="C120" s="4" t="s">
        <v>461</v>
      </c>
      <c r="D120" s="4" t="s">
        <v>461</v>
      </c>
      <c r="E120" s="4" t="s">
        <v>461</v>
      </c>
      <c r="F120" s="4" t="s">
        <v>267</v>
      </c>
    </row>
    <row r="121" spans="1:6" ht="30" customHeight="1">
      <c r="A121" s="6" t="s">
        <v>394</v>
      </c>
      <c r="B121" s="6" t="s">
        <v>395</v>
      </c>
      <c r="C121" s="6" t="s">
        <v>461</v>
      </c>
      <c r="D121" s="6" t="s">
        <v>461</v>
      </c>
      <c r="E121" s="6" t="s">
        <v>461</v>
      </c>
      <c r="F121" s="6" t="s">
        <v>267</v>
      </c>
    </row>
    <row r="122" spans="1:6" ht="30" customHeight="1">
      <c r="A122" s="4" t="s">
        <v>397</v>
      </c>
      <c r="B122" s="4" t="s">
        <v>398</v>
      </c>
      <c r="C122" s="4" t="s">
        <v>461</v>
      </c>
      <c r="D122" s="4" t="s">
        <v>461</v>
      </c>
      <c r="E122" s="4" t="s">
        <v>461</v>
      </c>
      <c r="F122" s="4" t="s">
        <v>267</v>
      </c>
    </row>
    <row r="123" spans="1:6" ht="30" customHeight="1">
      <c r="A123" s="6" t="s">
        <v>399</v>
      </c>
      <c r="B123" s="6" t="s">
        <v>400</v>
      </c>
      <c r="C123" s="6" t="s">
        <v>721</v>
      </c>
      <c r="D123" s="6" t="s">
        <v>722</v>
      </c>
      <c r="E123" s="6" t="s">
        <v>723</v>
      </c>
      <c r="F123" s="6" t="s">
        <v>402</v>
      </c>
    </row>
    <row r="124" spans="1:6" ht="30" customHeight="1">
      <c r="A124" s="4" t="s">
        <v>403</v>
      </c>
      <c r="B124" s="4" t="s">
        <v>404</v>
      </c>
      <c r="C124" s="4" t="s">
        <v>461</v>
      </c>
      <c r="D124" s="4" t="s">
        <v>461</v>
      </c>
      <c r="E124" s="4" t="s">
        <v>461</v>
      </c>
      <c r="F124" s="4" t="s">
        <v>409</v>
      </c>
    </row>
    <row r="125" spans="1:6" ht="30" customHeight="1">
      <c r="A125" s="6" t="s">
        <v>410</v>
      </c>
      <c r="B125" s="6" t="s">
        <v>411</v>
      </c>
      <c r="C125" s="6" t="s">
        <v>461</v>
      </c>
      <c r="D125" s="6" t="s">
        <v>461</v>
      </c>
      <c r="E125" s="6" t="s">
        <v>461</v>
      </c>
      <c r="F125" s="6" t="s">
        <v>413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5"/>
  <sheetViews>
    <sheetView showGridLines="0" workbookViewId="0">
      <pane xSplit="2" ySplit="5" topLeftCell="F6" activePane="bottomRight" state="frozen"/>
      <selection pane="topRight"/>
      <selection pane="bottomLeft"/>
      <selection pane="bottomRight" activeCell="F7" sqref="F7"/>
    </sheetView>
  </sheetViews>
  <sheetFormatPr defaultRowHeight="14"/>
  <cols>
    <col min="1" max="1" width="11" customWidth="1"/>
    <col min="2" max="2" width="34" customWidth="1"/>
    <col min="3" max="3" width="88" customWidth="1"/>
    <col min="4" max="4" width="75" customWidth="1"/>
    <col min="5" max="5" width="94" customWidth="1"/>
    <col min="6" max="6" width="36" customWidth="1"/>
    <col min="7" max="7" width="29" customWidth="1"/>
  </cols>
  <sheetData>
    <row r="1" spans="1:7">
      <c r="A1" s="1"/>
      <c r="B1" s="1"/>
      <c r="C1" s="1"/>
      <c r="D1" s="1"/>
      <c r="E1" s="1"/>
      <c r="F1" s="1"/>
      <c r="G1" s="1"/>
    </row>
    <row r="2" spans="1:7" ht="18">
      <c r="A2" s="2" t="s">
        <v>724</v>
      </c>
      <c r="B2" s="1"/>
      <c r="C2" s="1"/>
      <c r="D2" s="1"/>
      <c r="E2" s="1"/>
      <c r="F2" s="1"/>
      <c r="G2" s="1"/>
    </row>
    <row r="3" spans="1:7" ht="26" customHeight="1">
      <c r="A3" s="3" t="s">
        <v>725</v>
      </c>
      <c r="B3" s="1"/>
      <c r="C3" s="1"/>
      <c r="D3" s="1"/>
      <c r="E3" s="1"/>
      <c r="F3" s="1"/>
      <c r="G3" s="1"/>
    </row>
    <row r="4" spans="1:7">
      <c r="A4" s="1"/>
      <c r="B4" s="1"/>
      <c r="C4" s="1"/>
      <c r="D4" s="1"/>
      <c r="E4" s="1"/>
      <c r="F4" s="1"/>
      <c r="G4" s="1"/>
    </row>
    <row r="5" spans="1:7" ht="34" customHeight="1">
      <c r="A5" s="5" t="s">
        <v>59</v>
      </c>
      <c r="B5" s="5" t="s">
        <v>2</v>
      </c>
      <c r="C5" s="5" t="s">
        <v>726</v>
      </c>
      <c r="D5" s="5" t="s">
        <v>727</v>
      </c>
      <c r="E5" s="5" t="s">
        <v>728</v>
      </c>
      <c r="F5" s="5" t="s">
        <v>729</v>
      </c>
      <c r="G5" s="5" t="s">
        <v>65</v>
      </c>
    </row>
    <row r="6" spans="1:7" ht="51" customHeight="1">
      <c r="A6" s="4" t="s">
        <v>66</v>
      </c>
      <c r="B6" s="4" t="s">
        <v>32</v>
      </c>
      <c r="C6" s="4" t="s">
        <v>730</v>
      </c>
      <c r="D6" s="4" t="s">
        <v>731</v>
      </c>
      <c r="E6" s="4" t="s">
        <v>732</v>
      </c>
      <c r="F6" s="4" t="s">
        <v>733</v>
      </c>
      <c r="G6" s="4" t="s">
        <v>71</v>
      </c>
    </row>
    <row r="7" spans="1:7" ht="51" customHeight="1">
      <c r="A7" s="6" t="s">
        <v>72</v>
      </c>
      <c r="B7" s="6" t="s">
        <v>11</v>
      </c>
      <c r="C7" s="6" t="s">
        <v>734</v>
      </c>
      <c r="D7" s="6" t="s">
        <v>735</v>
      </c>
      <c r="E7" s="6" t="s">
        <v>736</v>
      </c>
      <c r="F7" s="6" t="s">
        <v>737</v>
      </c>
      <c r="G7" s="6" t="s">
        <v>75</v>
      </c>
    </row>
    <row r="8" spans="1:7" ht="51" customHeight="1">
      <c r="A8" s="4" t="s">
        <v>76</v>
      </c>
      <c r="B8" s="4" t="s">
        <v>25</v>
      </c>
      <c r="C8" s="4" t="s">
        <v>738</v>
      </c>
      <c r="D8" s="4" t="s">
        <v>739</v>
      </c>
      <c r="E8" s="4" t="s">
        <v>740</v>
      </c>
      <c r="F8" s="4" t="s">
        <v>741</v>
      </c>
      <c r="G8" s="4" t="s">
        <v>79</v>
      </c>
    </row>
    <row r="9" spans="1:7" ht="51" customHeight="1">
      <c r="A9" s="6" t="s">
        <v>80</v>
      </c>
      <c r="B9" s="6" t="s">
        <v>18</v>
      </c>
      <c r="C9" s="6" t="s">
        <v>742</v>
      </c>
      <c r="D9" s="6" t="s">
        <v>743</v>
      </c>
      <c r="E9" s="6" t="s">
        <v>744</v>
      </c>
      <c r="F9" s="6" t="s">
        <v>745</v>
      </c>
      <c r="G9" s="6" t="s">
        <v>82</v>
      </c>
    </row>
    <row r="10" spans="1:7" ht="51" customHeight="1">
      <c r="A10" s="4" t="s">
        <v>83</v>
      </c>
      <c r="B10" s="4" t="s">
        <v>39</v>
      </c>
      <c r="C10" s="4" t="s">
        <v>746</v>
      </c>
      <c r="D10" s="4" t="s">
        <v>747</v>
      </c>
      <c r="E10" s="4" t="s">
        <v>748</v>
      </c>
      <c r="F10" s="4" t="s">
        <v>749</v>
      </c>
      <c r="G10" s="4" t="s">
        <v>85</v>
      </c>
    </row>
    <row r="11" spans="1:7" ht="51" customHeight="1">
      <c r="A11" s="6" t="s">
        <v>86</v>
      </c>
      <c r="B11" s="6" t="s">
        <v>87</v>
      </c>
      <c r="C11" s="6" t="s">
        <v>750</v>
      </c>
      <c r="D11" s="6" t="s">
        <v>751</v>
      </c>
      <c r="E11" s="6" t="s">
        <v>752</v>
      </c>
      <c r="F11" s="6" t="s">
        <v>753</v>
      </c>
      <c r="G11" s="6" t="s">
        <v>89</v>
      </c>
    </row>
    <row r="12" spans="1:7" ht="51" customHeight="1">
      <c r="A12" s="4" t="s">
        <v>90</v>
      </c>
      <c r="B12" s="4" t="s">
        <v>91</v>
      </c>
      <c r="C12" s="4" t="s">
        <v>754</v>
      </c>
      <c r="D12" s="4" t="s">
        <v>755</v>
      </c>
      <c r="E12" s="4" t="s">
        <v>756</v>
      </c>
      <c r="F12" s="4" t="s">
        <v>757</v>
      </c>
      <c r="G12" s="4" t="s">
        <v>93</v>
      </c>
    </row>
    <row r="13" spans="1:7" ht="38" customHeight="1">
      <c r="A13" s="6" t="s">
        <v>94</v>
      </c>
      <c r="B13" s="6" t="s">
        <v>95</v>
      </c>
      <c r="C13" s="6" t="s">
        <v>758</v>
      </c>
      <c r="D13" s="6" t="s">
        <v>759</v>
      </c>
      <c r="E13" s="6" t="s">
        <v>760</v>
      </c>
      <c r="F13" s="6" t="s">
        <v>761</v>
      </c>
      <c r="G13" s="6" t="s">
        <v>97</v>
      </c>
    </row>
    <row r="14" spans="1:7" ht="38" customHeight="1">
      <c r="A14" s="4" t="s">
        <v>98</v>
      </c>
      <c r="B14" s="4" t="s">
        <v>99</v>
      </c>
      <c r="C14" s="4" t="s">
        <v>762</v>
      </c>
      <c r="D14" s="4" t="s">
        <v>763</v>
      </c>
      <c r="E14" s="4" t="s">
        <v>764</v>
      </c>
      <c r="F14" s="4" t="s">
        <v>765</v>
      </c>
      <c r="G14" s="4" t="s">
        <v>100</v>
      </c>
    </row>
    <row r="15" spans="1:7" ht="38" customHeight="1">
      <c r="A15" s="6" t="s">
        <v>101</v>
      </c>
      <c r="B15" s="6" t="s">
        <v>102</v>
      </c>
      <c r="C15" s="6" t="s">
        <v>766</v>
      </c>
      <c r="D15" s="6" t="s">
        <v>767</v>
      </c>
      <c r="E15" s="6" t="s">
        <v>768</v>
      </c>
      <c r="F15" s="6" t="s">
        <v>769</v>
      </c>
      <c r="G15" s="6" t="s">
        <v>104</v>
      </c>
    </row>
    <row r="16" spans="1:7" ht="51" customHeight="1">
      <c r="A16" s="4" t="s">
        <v>105</v>
      </c>
      <c r="B16" s="4" t="s">
        <v>106</v>
      </c>
      <c r="C16" s="4" t="s">
        <v>770</v>
      </c>
      <c r="D16" s="4" t="s">
        <v>771</v>
      </c>
      <c r="E16" s="4" t="s">
        <v>772</v>
      </c>
      <c r="F16" s="4" t="s">
        <v>773</v>
      </c>
      <c r="G16" s="4" t="s">
        <v>107</v>
      </c>
    </row>
    <row r="17" spans="1:7" ht="38" customHeight="1">
      <c r="A17" s="6" t="s">
        <v>108</v>
      </c>
      <c r="B17" s="6" t="s">
        <v>109</v>
      </c>
      <c r="C17" s="6" t="s">
        <v>774</v>
      </c>
      <c r="D17" s="6" t="s">
        <v>775</v>
      </c>
      <c r="E17" s="6" t="s">
        <v>776</v>
      </c>
      <c r="F17" s="6" t="s">
        <v>777</v>
      </c>
      <c r="G17" s="6" t="s">
        <v>110</v>
      </c>
    </row>
    <row r="18" spans="1:7" ht="38" customHeight="1">
      <c r="A18" s="4" t="s">
        <v>111</v>
      </c>
      <c r="B18" s="4" t="s">
        <v>112</v>
      </c>
      <c r="C18" s="4" t="s">
        <v>778</v>
      </c>
      <c r="D18" s="4" t="s">
        <v>779</v>
      </c>
      <c r="E18" s="4" t="s">
        <v>780</v>
      </c>
      <c r="F18" s="4" t="s">
        <v>781</v>
      </c>
      <c r="G18" s="4" t="s">
        <v>113</v>
      </c>
    </row>
    <row r="19" spans="1:7" ht="38" customHeight="1">
      <c r="A19" s="6" t="s">
        <v>114</v>
      </c>
      <c r="B19" s="6" t="s">
        <v>115</v>
      </c>
      <c r="C19" s="6" t="s">
        <v>782</v>
      </c>
      <c r="D19" s="6" t="s">
        <v>783</v>
      </c>
      <c r="E19" s="6" t="s">
        <v>784</v>
      </c>
      <c r="F19" s="6" t="s">
        <v>785</v>
      </c>
      <c r="G19" s="6" t="s">
        <v>116</v>
      </c>
    </row>
    <row r="20" spans="1:7" ht="38" customHeight="1">
      <c r="A20" s="4" t="s">
        <v>117</v>
      </c>
      <c r="B20" s="4" t="s">
        <v>118</v>
      </c>
      <c r="C20" s="4" t="s">
        <v>786</v>
      </c>
      <c r="D20" s="4" t="s">
        <v>787</v>
      </c>
      <c r="E20" s="4" t="s">
        <v>788</v>
      </c>
      <c r="F20" s="4" t="s">
        <v>789</v>
      </c>
      <c r="G20" s="4" t="s">
        <v>119</v>
      </c>
    </row>
    <row r="21" spans="1:7" ht="38" customHeight="1">
      <c r="A21" s="6" t="s">
        <v>120</v>
      </c>
      <c r="B21" s="6" t="s">
        <v>121</v>
      </c>
      <c r="C21" s="6" t="s">
        <v>790</v>
      </c>
      <c r="D21" s="6" t="s">
        <v>791</v>
      </c>
      <c r="E21" s="6" t="s">
        <v>792</v>
      </c>
      <c r="F21" s="6" t="s">
        <v>781</v>
      </c>
      <c r="G21" s="6" t="s">
        <v>123</v>
      </c>
    </row>
    <row r="22" spans="1:7" ht="38" customHeight="1">
      <c r="A22" s="4" t="s">
        <v>124</v>
      </c>
      <c r="B22" s="4" t="s">
        <v>125</v>
      </c>
      <c r="C22" s="4" t="s">
        <v>793</v>
      </c>
      <c r="D22" s="4" t="s">
        <v>794</v>
      </c>
      <c r="E22" s="4" t="s">
        <v>795</v>
      </c>
      <c r="F22" s="4" t="s">
        <v>796</v>
      </c>
      <c r="G22" s="4" t="s">
        <v>126</v>
      </c>
    </row>
    <row r="23" spans="1:7" ht="38" customHeight="1">
      <c r="A23" s="6" t="s">
        <v>127</v>
      </c>
      <c r="B23" s="6" t="s">
        <v>128</v>
      </c>
      <c r="C23" s="6" t="s">
        <v>797</v>
      </c>
      <c r="D23" s="6" t="s">
        <v>798</v>
      </c>
      <c r="E23" s="6" t="s">
        <v>799</v>
      </c>
      <c r="F23" s="6" t="s">
        <v>800</v>
      </c>
      <c r="G23" s="6" t="s">
        <v>131</v>
      </c>
    </row>
    <row r="24" spans="1:7" ht="38" customHeight="1">
      <c r="A24" s="4" t="s">
        <v>132</v>
      </c>
      <c r="B24" s="4" t="s">
        <v>133</v>
      </c>
      <c r="C24" s="4" t="s">
        <v>801</v>
      </c>
      <c r="D24" s="4" t="s">
        <v>802</v>
      </c>
      <c r="E24" s="4" t="s">
        <v>803</v>
      </c>
      <c r="F24" s="4" t="s">
        <v>781</v>
      </c>
      <c r="G24" s="4" t="s">
        <v>134</v>
      </c>
    </row>
    <row r="25" spans="1:7" ht="38" customHeight="1">
      <c r="A25" s="6" t="s">
        <v>135</v>
      </c>
      <c r="B25" s="6" t="s">
        <v>136</v>
      </c>
      <c r="C25" s="6" t="s">
        <v>804</v>
      </c>
      <c r="D25" s="6" t="s">
        <v>805</v>
      </c>
      <c r="E25" s="6" t="s">
        <v>806</v>
      </c>
      <c r="F25" s="6" t="s">
        <v>807</v>
      </c>
      <c r="G25" s="6" t="s">
        <v>137</v>
      </c>
    </row>
    <row r="26" spans="1:7" ht="38" customHeight="1">
      <c r="A26" s="4" t="s">
        <v>138</v>
      </c>
      <c r="B26" s="4" t="s">
        <v>139</v>
      </c>
      <c r="C26" s="4" t="s">
        <v>808</v>
      </c>
      <c r="D26" s="4" t="s">
        <v>809</v>
      </c>
      <c r="E26" s="4" t="s">
        <v>810</v>
      </c>
      <c r="F26" s="4" t="s">
        <v>811</v>
      </c>
      <c r="G26" s="4" t="s">
        <v>140</v>
      </c>
    </row>
    <row r="27" spans="1:7" ht="38" customHeight="1">
      <c r="A27" s="6" t="s">
        <v>141</v>
      </c>
      <c r="B27" s="6" t="s">
        <v>142</v>
      </c>
      <c r="C27" s="6" t="s">
        <v>812</v>
      </c>
      <c r="D27" s="6" t="s">
        <v>813</v>
      </c>
      <c r="E27" s="6" t="s">
        <v>814</v>
      </c>
      <c r="F27" s="6" t="s">
        <v>815</v>
      </c>
      <c r="G27" s="6" t="s">
        <v>143</v>
      </c>
    </row>
    <row r="28" spans="1:7" ht="38" customHeight="1">
      <c r="A28" s="4" t="s">
        <v>144</v>
      </c>
      <c r="B28" s="4" t="s">
        <v>145</v>
      </c>
      <c r="C28" s="4" t="s">
        <v>816</v>
      </c>
      <c r="D28" s="4" t="s">
        <v>817</v>
      </c>
      <c r="E28" s="4" t="s">
        <v>818</v>
      </c>
      <c r="F28" s="4" t="s">
        <v>819</v>
      </c>
      <c r="G28" s="4" t="s">
        <v>147</v>
      </c>
    </row>
    <row r="29" spans="1:7" ht="38" customHeight="1">
      <c r="A29" s="6" t="s">
        <v>148</v>
      </c>
      <c r="B29" s="6" t="s">
        <v>149</v>
      </c>
      <c r="C29" s="6" t="s">
        <v>820</v>
      </c>
      <c r="D29" s="6" t="s">
        <v>821</v>
      </c>
      <c r="E29" s="6" t="s">
        <v>822</v>
      </c>
      <c r="F29" s="6" t="s">
        <v>823</v>
      </c>
      <c r="G29" s="6" t="s">
        <v>151</v>
      </c>
    </row>
    <row r="30" spans="1:7" ht="38" customHeight="1">
      <c r="A30" s="4" t="s">
        <v>152</v>
      </c>
      <c r="B30" s="4" t="s">
        <v>153</v>
      </c>
      <c r="C30" s="4" t="s">
        <v>824</v>
      </c>
      <c r="D30" s="4" t="s">
        <v>825</v>
      </c>
      <c r="E30" s="4" t="s">
        <v>826</v>
      </c>
      <c r="F30" s="4" t="s">
        <v>827</v>
      </c>
      <c r="G30" s="4" t="s">
        <v>156</v>
      </c>
    </row>
    <row r="31" spans="1:7" ht="51" customHeight="1">
      <c r="A31" s="6" t="s">
        <v>157</v>
      </c>
      <c r="B31" s="6" t="s">
        <v>158</v>
      </c>
      <c r="C31" s="6" t="s">
        <v>828</v>
      </c>
      <c r="D31" s="6" t="s">
        <v>829</v>
      </c>
      <c r="E31" s="6" t="s">
        <v>830</v>
      </c>
      <c r="F31" s="6" t="s">
        <v>831</v>
      </c>
      <c r="G31" s="6" t="s">
        <v>159</v>
      </c>
    </row>
    <row r="32" spans="1:7" ht="38" customHeight="1">
      <c r="A32" s="4" t="s">
        <v>160</v>
      </c>
      <c r="B32" s="4" t="s">
        <v>161</v>
      </c>
      <c r="C32" s="4" t="s">
        <v>832</v>
      </c>
      <c r="D32" s="4" t="s">
        <v>833</v>
      </c>
      <c r="E32" s="4" t="s">
        <v>834</v>
      </c>
      <c r="F32" s="4" t="s">
        <v>835</v>
      </c>
      <c r="G32" s="4" t="s">
        <v>162</v>
      </c>
    </row>
    <row r="33" spans="1:7" ht="38" customHeight="1">
      <c r="A33" s="6" t="s">
        <v>163</v>
      </c>
      <c r="B33" s="6" t="s">
        <v>164</v>
      </c>
      <c r="C33" s="6" t="s">
        <v>836</v>
      </c>
      <c r="D33" s="6" t="s">
        <v>837</v>
      </c>
      <c r="E33" s="6" t="s">
        <v>838</v>
      </c>
      <c r="F33" s="6" t="s">
        <v>839</v>
      </c>
      <c r="G33" s="6" t="s">
        <v>165</v>
      </c>
    </row>
    <row r="34" spans="1:7" ht="38" customHeight="1">
      <c r="A34" s="4" t="s">
        <v>166</v>
      </c>
      <c r="B34" s="4" t="s">
        <v>167</v>
      </c>
      <c r="C34" s="4" t="s">
        <v>840</v>
      </c>
      <c r="D34" s="4" t="s">
        <v>841</v>
      </c>
      <c r="E34" s="4" t="s">
        <v>842</v>
      </c>
      <c r="F34" s="4" t="s">
        <v>843</v>
      </c>
      <c r="G34" s="4" t="s">
        <v>168</v>
      </c>
    </row>
    <row r="35" spans="1:7" ht="38" customHeight="1">
      <c r="A35" s="6" t="s">
        <v>169</v>
      </c>
      <c r="B35" s="6" t="s">
        <v>170</v>
      </c>
      <c r="C35" s="6" t="s">
        <v>844</v>
      </c>
      <c r="D35" s="6" t="s">
        <v>845</v>
      </c>
      <c r="E35" s="6" t="s">
        <v>846</v>
      </c>
      <c r="F35" s="6" t="s">
        <v>847</v>
      </c>
      <c r="G35" s="6" t="s">
        <v>171</v>
      </c>
    </row>
    <row r="36" spans="1:7" ht="38" customHeight="1">
      <c r="A36" s="4" t="s">
        <v>172</v>
      </c>
      <c r="B36" s="4" t="s">
        <v>173</v>
      </c>
      <c r="C36" s="4" t="s">
        <v>848</v>
      </c>
      <c r="D36" s="4" t="s">
        <v>849</v>
      </c>
      <c r="E36" s="4" t="s">
        <v>850</v>
      </c>
      <c r="F36" s="4" t="s">
        <v>851</v>
      </c>
      <c r="G36" s="4" t="s">
        <v>174</v>
      </c>
    </row>
    <row r="37" spans="1:7" ht="38" customHeight="1">
      <c r="A37" s="6" t="s">
        <v>175</v>
      </c>
      <c r="B37" s="6" t="s">
        <v>176</v>
      </c>
      <c r="C37" s="6" t="s">
        <v>852</v>
      </c>
      <c r="D37" s="6" t="s">
        <v>853</v>
      </c>
      <c r="E37" s="6" t="s">
        <v>854</v>
      </c>
      <c r="F37" s="6" t="s">
        <v>855</v>
      </c>
      <c r="G37" s="6" t="s">
        <v>177</v>
      </c>
    </row>
    <row r="38" spans="1:7" ht="38" customHeight="1">
      <c r="A38" s="4" t="s">
        <v>178</v>
      </c>
      <c r="B38" s="4" t="s">
        <v>179</v>
      </c>
      <c r="C38" s="4" t="s">
        <v>856</v>
      </c>
      <c r="D38" s="4" t="s">
        <v>857</v>
      </c>
      <c r="E38" s="4" t="s">
        <v>858</v>
      </c>
      <c r="F38" s="4" t="s">
        <v>859</v>
      </c>
      <c r="G38" s="4" t="s">
        <v>181</v>
      </c>
    </row>
    <row r="39" spans="1:7" ht="38" customHeight="1">
      <c r="A39" s="6" t="s">
        <v>182</v>
      </c>
      <c r="B39" s="6" t="s">
        <v>183</v>
      </c>
      <c r="C39" s="6" t="s">
        <v>860</v>
      </c>
      <c r="D39" s="6" t="s">
        <v>861</v>
      </c>
      <c r="E39" s="6" t="s">
        <v>862</v>
      </c>
      <c r="F39" s="6" t="s">
        <v>863</v>
      </c>
      <c r="G39" s="6" t="s">
        <v>185</v>
      </c>
    </row>
    <row r="40" spans="1:7" ht="38" customHeight="1">
      <c r="A40" s="4" t="s">
        <v>186</v>
      </c>
      <c r="B40" s="4" t="s">
        <v>187</v>
      </c>
      <c r="C40" s="4" t="s">
        <v>864</v>
      </c>
      <c r="D40" s="4" t="s">
        <v>865</v>
      </c>
      <c r="E40" s="4" t="s">
        <v>866</v>
      </c>
      <c r="F40" s="4" t="s">
        <v>796</v>
      </c>
      <c r="G40" s="4" t="s">
        <v>188</v>
      </c>
    </row>
    <row r="41" spans="1:7" ht="38" customHeight="1">
      <c r="A41" s="6" t="s">
        <v>189</v>
      </c>
      <c r="B41" s="6" t="s">
        <v>190</v>
      </c>
      <c r="C41" s="6" t="s">
        <v>867</v>
      </c>
      <c r="D41" s="6" t="s">
        <v>868</v>
      </c>
      <c r="E41" s="6" t="s">
        <v>869</v>
      </c>
      <c r="F41" s="6" t="s">
        <v>870</v>
      </c>
      <c r="G41" s="6" t="s">
        <v>192</v>
      </c>
    </row>
    <row r="42" spans="1:7" ht="38" customHeight="1">
      <c r="A42" s="4" t="s">
        <v>193</v>
      </c>
      <c r="B42" s="4" t="s">
        <v>194</v>
      </c>
      <c r="C42" s="4" t="s">
        <v>871</v>
      </c>
      <c r="D42" s="4" t="s">
        <v>872</v>
      </c>
      <c r="E42" s="4" t="s">
        <v>873</v>
      </c>
      <c r="F42" s="4" t="s">
        <v>796</v>
      </c>
      <c r="G42" s="4" t="s">
        <v>195</v>
      </c>
    </row>
    <row r="43" spans="1:7" ht="38" customHeight="1">
      <c r="A43" s="6" t="s">
        <v>196</v>
      </c>
      <c r="B43" s="6" t="s">
        <v>197</v>
      </c>
      <c r="C43" s="6" t="s">
        <v>874</v>
      </c>
      <c r="D43" s="6" t="s">
        <v>875</v>
      </c>
      <c r="E43" s="6" t="s">
        <v>876</v>
      </c>
      <c r="F43" s="6" t="s">
        <v>877</v>
      </c>
      <c r="G43" s="6" t="s">
        <v>199</v>
      </c>
    </row>
    <row r="44" spans="1:7" ht="38" customHeight="1">
      <c r="A44" s="4" t="s">
        <v>200</v>
      </c>
      <c r="B44" s="4" t="s">
        <v>201</v>
      </c>
      <c r="C44" s="4" t="s">
        <v>878</v>
      </c>
      <c r="D44" s="4" t="s">
        <v>879</v>
      </c>
      <c r="E44" s="4" t="s">
        <v>880</v>
      </c>
      <c r="F44" s="4" t="s">
        <v>881</v>
      </c>
      <c r="G44" s="4" t="s">
        <v>202</v>
      </c>
    </row>
    <row r="45" spans="1:7" ht="38" customHeight="1">
      <c r="A45" s="6" t="s">
        <v>203</v>
      </c>
      <c r="B45" s="6" t="s">
        <v>204</v>
      </c>
      <c r="C45" s="6" t="s">
        <v>882</v>
      </c>
      <c r="D45" s="6" t="s">
        <v>883</v>
      </c>
      <c r="E45" s="6" t="s">
        <v>884</v>
      </c>
      <c r="F45" s="6" t="s">
        <v>885</v>
      </c>
      <c r="G45" s="6" t="s">
        <v>205</v>
      </c>
    </row>
    <row r="46" spans="1:7" ht="38" customHeight="1">
      <c r="A46" s="4" t="s">
        <v>206</v>
      </c>
      <c r="B46" s="4" t="s">
        <v>207</v>
      </c>
      <c r="C46" s="4" t="s">
        <v>886</v>
      </c>
      <c r="D46" s="4" t="s">
        <v>887</v>
      </c>
      <c r="E46" s="4" t="s">
        <v>888</v>
      </c>
      <c r="F46" s="4" t="s">
        <v>889</v>
      </c>
      <c r="G46" s="4" t="s">
        <v>208</v>
      </c>
    </row>
    <row r="47" spans="1:7" ht="38" customHeight="1">
      <c r="A47" s="6" t="s">
        <v>209</v>
      </c>
      <c r="B47" s="6" t="s">
        <v>210</v>
      </c>
      <c r="C47" s="6" t="s">
        <v>890</v>
      </c>
      <c r="D47" s="6" t="s">
        <v>891</v>
      </c>
      <c r="E47" s="6" t="s">
        <v>892</v>
      </c>
      <c r="F47" s="6" t="s">
        <v>893</v>
      </c>
      <c r="G47" s="6" t="s">
        <v>211</v>
      </c>
    </row>
    <row r="48" spans="1:7" ht="38" customHeight="1">
      <c r="A48" s="4" t="s">
        <v>212</v>
      </c>
      <c r="B48" s="4" t="s">
        <v>213</v>
      </c>
      <c r="C48" s="4" t="s">
        <v>894</v>
      </c>
      <c r="D48" s="4" t="s">
        <v>895</v>
      </c>
      <c r="E48" s="4" t="s">
        <v>896</v>
      </c>
      <c r="F48" s="4" t="s">
        <v>897</v>
      </c>
      <c r="G48" s="4" t="s">
        <v>214</v>
      </c>
    </row>
    <row r="49" spans="1:7" ht="38" customHeight="1">
      <c r="A49" s="6" t="s">
        <v>215</v>
      </c>
      <c r="B49" s="6" t="s">
        <v>216</v>
      </c>
      <c r="C49" s="6" t="s">
        <v>898</v>
      </c>
      <c r="D49" s="6" t="s">
        <v>899</v>
      </c>
      <c r="E49" s="6" t="s">
        <v>900</v>
      </c>
      <c r="F49" s="6" t="s">
        <v>901</v>
      </c>
      <c r="G49" s="6" t="s">
        <v>220</v>
      </c>
    </row>
    <row r="50" spans="1:7" ht="38" customHeight="1">
      <c r="A50" s="4" t="s">
        <v>221</v>
      </c>
      <c r="B50" s="4" t="s">
        <v>222</v>
      </c>
      <c r="C50" s="4" t="s">
        <v>902</v>
      </c>
      <c r="D50" s="4" t="s">
        <v>903</v>
      </c>
      <c r="E50" s="4" t="s">
        <v>904</v>
      </c>
      <c r="F50" s="4" t="s">
        <v>905</v>
      </c>
      <c r="G50" s="4" t="s">
        <v>224</v>
      </c>
    </row>
    <row r="51" spans="1:7" ht="38" customHeight="1">
      <c r="A51" s="6" t="s">
        <v>225</v>
      </c>
      <c r="B51" s="6" t="s">
        <v>226</v>
      </c>
      <c r="C51" s="6" t="s">
        <v>906</v>
      </c>
      <c r="D51" s="6" t="s">
        <v>907</v>
      </c>
      <c r="E51" s="6" t="s">
        <v>908</v>
      </c>
      <c r="F51" s="6" t="s">
        <v>909</v>
      </c>
      <c r="G51" s="6" t="s">
        <v>229</v>
      </c>
    </row>
    <row r="52" spans="1:7" ht="38" customHeight="1">
      <c r="A52" s="4" t="s">
        <v>230</v>
      </c>
      <c r="B52" s="4" t="s">
        <v>231</v>
      </c>
      <c r="C52" s="4" t="s">
        <v>910</v>
      </c>
      <c r="D52" s="4" t="s">
        <v>911</v>
      </c>
      <c r="E52" s="4" t="s">
        <v>912</v>
      </c>
      <c r="F52" s="4" t="s">
        <v>913</v>
      </c>
      <c r="G52" s="4" t="s">
        <v>234</v>
      </c>
    </row>
    <row r="53" spans="1:7" ht="38" customHeight="1">
      <c r="A53" s="6" t="s">
        <v>235</v>
      </c>
      <c r="B53" s="6" t="s">
        <v>236</v>
      </c>
      <c r="C53" s="6" t="s">
        <v>914</v>
      </c>
      <c r="D53" s="6" t="s">
        <v>915</v>
      </c>
      <c r="E53" s="6" t="s">
        <v>916</v>
      </c>
      <c r="F53" s="6" t="s">
        <v>917</v>
      </c>
      <c r="G53" s="6" t="s">
        <v>238</v>
      </c>
    </row>
    <row r="54" spans="1:7" ht="38" customHeight="1">
      <c r="A54" s="4" t="s">
        <v>239</v>
      </c>
      <c r="B54" s="4" t="s">
        <v>240</v>
      </c>
      <c r="C54" s="4" t="s">
        <v>918</v>
      </c>
      <c r="D54" s="4" t="s">
        <v>919</v>
      </c>
      <c r="E54" s="4" t="s">
        <v>920</v>
      </c>
      <c r="F54" s="4" t="s">
        <v>921</v>
      </c>
      <c r="G54" s="4" t="s">
        <v>243</v>
      </c>
    </row>
    <row r="55" spans="1:7" ht="38" customHeight="1">
      <c r="A55" s="6" t="s">
        <v>244</v>
      </c>
      <c r="B55" s="6" t="s">
        <v>245</v>
      </c>
      <c r="C55" s="6" t="s">
        <v>922</v>
      </c>
      <c r="D55" s="6" t="s">
        <v>923</v>
      </c>
      <c r="E55" s="6" t="s">
        <v>924</v>
      </c>
      <c r="F55" s="6" t="s">
        <v>925</v>
      </c>
      <c r="G55" s="6" t="s">
        <v>247</v>
      </c>
    </row>
    <row r="56" spans="1:7" ht="38" customHeight="1">
      <c r="A56" s="4" t="s">
        <v>248</v>
      </c>
      <c r="B56" s="4" t="s">
        <v>249</v>
      </c>
      <c r="C56" s="4" t="s">
        <v>926</v>
      </c>
      <c r="D56" s="4" t="s">
        <v>927</v>
      </c>
      <c r="E56" s="4" t="s">
        <v>928</v>
      </c>
      <c r="F56" s="4" t="s">
        <v>929</v>
      </c>
      <c r="G56" s="4" t="s">
        <v>251</v>
      </c>
    </row>
    <row r="57" spans="1:7" ht="38" customHeight="1">
      <c r="A57" s="6" t="s">
        <v>252</v>
      </c>
      <c r="B57" s="6" t="s">
        <v>253</v>
      </c>
      <c r="C57" s="6" t="s">
        <v>930</v>
      </c>
      <c r="D57" s="6" t="s">
        <v>931</v>
      </c>
      <c r="E57" s="6" t="s">
        <v>932</v>
      </c>
      <c r="F57" s="6" t="s">
        <v>889</v>
      </c>
      <c r="G57" s="6" t="s">
        <v>254</v>
      </c>
    </row>
    <row r="58" spans="1:7" ht="38" customHeight="1">
      <c r="A58" s="4" t="s">
        <v>255</v>
      </c>
      <c r="B58" s="4" t="s">
        <v>256</v>
      </c>
      <c r="C58" s="4" t="s">
        <v>933</v>
      </c>
      <c r="D58" s="4" t="s">
        <v>934</v>
      </c>
      <c r="E58" s="4" t="s">
        <v>935</v>
      </c>
      <c r="F58" s="4" t="s">
        <v>936</v>
      </c>
      <c r="G58" s="4" t="s">
        <v>258</v>
      </c>
    </row>
    <row r="59" spans="1:7" ht="38" customHeight="1">
      <c r="A59" s="6" t="s">
        <v>259</v>
      </c>
      <c r="B59" s="6" t="s">
        <v>260</v>
      </c>
      <c r="C59" s="6" t="s">
        <v>937</v>
      </c>
      <c r="D59" s="6" t="s">
        <v>938</v>
      </c>
      <c r="E59" s="6" t="s">
        <v>939</v>
      </c>
      <c r="F59" s="6" t="s">
        <v>940</v>
      </c>
      <c r="G59" s="6" t="s">
        <v>261</v>
      </c>
    </row>
    <row r="60" spans="1:7" ht="38" customHeight="1">
      <c r="A60" s="4" t="s">
        <v>262</v>
      </c>
      <c r="B60" s="4" t="s">
        <v>263</v>
      </c>
      <c r="C60" s="4" t="s">
        <v>941</v>
      </c>
      <c r="D60" s="4" t="s">
        <v>461</v>
      </c>
      <c r="E60" s="4" t="s">
        <v>942</v>
      </c>
      <c r="F60" s="4" t="s">
        <v>943</v>
      </c>
      <c r="G60" s="4" t="s">
        <v>267</v>
      </c>
    </row>
    <row r="61" spans="1:7" ht="38" customHeight="1">
      <c r="A61" s="6" t="s">
        <v>268</v>
      </c>
      <c r="B61" s="6" t="s">
        <v>269</v>
      </c>
      <c r="C61" s="6" t="s">
        <v>941</v>
      </c>
      <c r="D61" s="6" t="s">
        <v>461</v>
      </c>
      <c r="E61" s="6" t="s">
        <v>942</v>
      </c>
      <c r="F61" s="6" t="s">
        <v>943</v>
      </c>
      <c r="G61" s="6" t="s">
        <v>267</v>
      </c>
    </row>
    <row r="62" spans="1:7" ht="38" customHeight="1">
      <c r="A62" s="4" t="s">
        <v>270</v>
      </c>
      <c r="B62" s="4" t="s">
        <v>271</v>
      </c>
      <c r="C62" s="4" t="s">
        <v>941</v>
      </c>
      <c r="D62" s="4" t="s">
        <v>461</v>
      </c>
      <c r="E62" s="4" t="s">
        <v>942</v>
      </c>
      <c r="F62" s="4" t="s">
        <v>943</v>
      </c>
      <c r="G62" s="4" t="s">
        <v>267</v>
      </c>
    </row>
    <row r="63" spans="1:7" ht="38" customHeight="1">
      <c r="A63" s="6" t="s">
        <v>272</v>
      </c>
      <c r="B63" s="6" t="s">
        <v>273</v>
      </c>
      <c r="C63" s="6" t="s">
        <v>941</v>
      </c>
      <c r="D63" s="6" t="s">
        <v>461</v>
      </c>
      <c r="E63" s="6" t="s">
        <v>942</v>
      </c>
      <c r="F63" s="6" t="s">
        <v>943</v>
      </c>
      <c r="G63" s="6" t="s">
        <v>267</v>
      </c>
    </row>
    <row r="64" spans="1:7" ht="38" customHeight="1">
      <c r="A64" s="4" t="s">
        <v>274</v>
      </c>
      <c r="B64" s="4" t="s">
        <v>275</v>
      </c>
      <c r="C64" s="4" t="s">
        <v>941</v>
      </c>
      <c r="D64" s="4" t="s">
        <v>461</v>
      </c>
      <c r="E64" s="4" t="s">
        <v>942</v>
      </c>
      <c r="F64" s="4" t="s">
        <v>943</v>
      </c>
      <c r="G64" s="4" t="s">
        <v>267</v>
      </c>
    </row>
    <row r="65" spans="1:7" ht="38" customHeight="1">
      <c r="A65" s="6" t="s">
        <v>276</v>
      </c>
      <c r="B65" s="6" t="s">
        <v>277</v>
      </c>
      <c r="C65" s="6" t="s">
        <v>941</v>
      </c>
      <c r="D65" s="6" t="s">
        <v>461</v>
      </c>
      <c r="E65" s="6" t="s">
        <v>942</v>
      </c>
      <c r="F65" s="6" t="s">
        <v>943</v>
      </c>
      <c r="G65" s="6" t="s">
        <v>267</v>
      </c>
    </row>
    <row r="66" spans="1:7" ht="38" customHeight="1">
      <c r="A66" s="4" t="s">
        <v>278</v>
      </c>
      <c r="B66" s="4" t="s">
        <v>279</v>
      </c>
      <c r="C66" s="4" t="s">
        <v>941</v>
      </c>
      <c r="D66" s="4" t="s">
        <v>461</v>
      </c>
      <c r="E66" s="4" t="s">
        <v>942</v>
      </c>
      <c r="F66" s="4" t="s">
        <v>943</v>
      </c>
      <c r="G66" s="4" t="s">
        <v>267</v>
      </c>
    </row>
    <row r="67" spans="1:7" ht="38" customHeight="1">
      <c r="A67" s="6" t="s">
        <v>280</v>
      </c>
      <c r="B67" s="6" t="s">
        <v>281</v>
      </c>
      <c r="C67" s="6" t="s">
        <v>941</v>
      </c>
      <c r="D67" s="6" t="s">
        <v>461</v>
      </c>
      <c r="E67" s="6" t="s">
        <v>942</v>
      </c>
      <c r="F67" s="6" t="s">
        <v>943</v>
      </c>
      <c r="G67" s="6" t="s">
        <v>267</v>
      </c>
    </row>
    <row r="68" spans="1:7" ht="38" customHeight="1">
      <c r="A68" s="4" t="s">
        <v>282</v>
      </c>
      <c r="B68" s="4" t="s">
        <v>283</v>
      </c>
      <c r="C68" s="4" t="s">
        <v>941</v>
      </c>
      <c r="D68" s="4" t="s">
        <v>461</v>
      </c>
      <c r="E68" s="4" t="s">
        <v>942</v>
      </c>
      <c r="F68" s="4" t="s">
        <v>943</v>
      </c>
      <c r="G68" s="4" t="s">
        <v>267</v>
      </c>
    </row>
    <row r="69" spans="1:7" ht="38" customHeight="1">
      <c r="A69" s="6" t="s">
        <v>284</v>
      </c>
      <c r="B69" s="6" t="s">
        <v>285</v>
      </c>
      <c r="C69" s="6" t="s">
        <v>941</v>
      </c>
      <c r="D69" s="6" t="s">
        <v>461</v>
      </c>
      <c r="E69" s="6" t="s">
        <v>942</v>
      </c>
      <c r="F69" s="6" t="s">
        <v>943</v>
      </c>
      <c r="G69" s="6" t="s">
        <v>267</v>
      </c>
    </row>
    <row r="70" spans="1:7" ht="38" customHeight="1">
      <c r="A70" s="4" t="s">
        <v>286</v>
      </c>
      <c r="B70" s="4" t="s">
        <v>287</v>
      </c>
      <c r="C70" s="4" t="s">
        <v>941</v>
      </c>
      <c r="D70" s="4" t="s">
        <v>461</v>
      </c>
      <c r="E70" s="4" t="s">
        <v>942</v>
      </c>
      <c r="F70" s="4" t="s">
        <v>943</v>
      </c>
      <c r="G70" s="4" t="s">
        <v>267</v>
      </c>
    </row>
    <row r="71" spans="1:7" ht="38" customHeight="1">
      <c r="A71" s="6" t="s">
        <v>288</v>
      </c>
      <c r="B71" s="6" t="s">
        <v>289</v>
      </c>
      <c r="C71" s="6" t="s">
        <v>941</v>
      </c>
      <c r="D71" s="6" t="s">
        <v>461</v>
      </c>
      <c r="E71" s="6" t="s">
        <v>942</v>
      </c>
      <c r="F71" s="6" t="s">
        <v>943</v>
      </c>
      <c r="G71" s="6" t="s">
        <v>267</v>
      </c>
    </row>
    <row r="72" spans="1:7" ht="38" customHeight="1">
      <c r="A72" s="4" t="s">
        <v>290</v>
      </c>
      <c r="B72" s="4" t="s">
        <v>291</v>
      </c>
      <c r="C72" s="4" t="s">
        <v>941</v>
      </c>
      <c r="D72" s="4" t="s">
        <v>461</v>
      </c>
      <c r="E72" s="4" t="s">
        <v>942</v>
      </c>
      <c r="F72" s="4" t="s">
        <v>943</v>
      </c>
      <c r="G72" s="4" t="s">
        <v>267</v>
      </c>
    </row>
    <row r="73" spans="1:7" ht="38" customHeight="1">
      <c r="A73" s="6" t="s">
        <v>292</v>
      </c>
      <c r="B73" s="6" t="s">
        <v>293</v>
      </c>
      <c r="C73" s="6" t="s">
        <v>941</v>
      </c>
      <c r="D73" s="6" t="s">
        <v>461</v>
      </c>
      <c r="E73" s="6" t="s">
        <v>942</v>
      </c>
      <c r="F73" s="6" t="s">
        <v>943</v>
      </c>
      <c r="G73" s="6" t="s">
        <v>267</v>
      </c>
    </row>
    <row r="74" spans="1:7" ht="38" customHeight="1">
      <c r="A74" s="4" t="s">
        <v>294</v>
      </c>
      <c r="B74" s="4" t="s">
        <v>295</v>
      </c>
      <c r="C74" s="4" t="s">
        <v>941</v>
      </c>
      <c r="D74" s="4" t="s">
        <v>461</v>
      </c>
      <c r="E74" s="4" t="s">
        <v>942</v>
      </c>
      <c r="F74" s="4" t="s">
        <v>943</v>
      </c>
      <c r="G74" s="4" t="s">
        <v>267</v>
      </c>
    </row>
    <row r="75" spans="1:7" ht="38" customHeight="1">
      <c r="A75" s="6" t="s">
        <v>296</v>
      </c>
      <c r="B75" s="6" t="s">
        <v>297</v>
      </c>
      <c r="C75" s="6" t="s">
        <v>941</v>
      </c>
      <c r="D75" s="6" t="s">
        <v>461</v>
      </c>
      <c r="E75" s="6" t="s">
        <v>942</v>
      </c>
      <c r="F75" s="6" t="s">
        <v>943</v>
      </c>
      <c r="G75" s="6" t="s">
        <v>267</v>
      </c>
    </row>
    <row r="76" spans="1:7" ht="38" customHeight="1">
      <c r="A76" s="4" t="s">
        <v>298</v>
      </c>
      <c r="B76" s="4" t="s">
        <v>299</v>
      </c>
      <c r="C76" s="4" t="s">
        <v>941</v>
      </c>
      <c r="D76" s="4" t="s">
        <v>461</v>
      </c>
      <c r="E76" s="4" t="s">
        <v>942</v>
      </c>
      <c r="F76" s="4" t="s">
        <v>943</v>
      </c>
      <c r="G76" s="4" t="s">
        <v>267</v>
      </c>
    </row>
    <row r="77" spans="1:7" ht="38" customHeight="1">
      <c r="A77" s="6" t="s">
        <v>300</v>
      </c>
      <c r="B77" s="6" t="s">
        <v>301</v>
      </c>
      <c r="C77" s="6" t="s">
        <v>941</v>
      </c>
      <c r="D77" s="6" t="s">
        <v>461</v>
      </c>
      <c r="E77" s="6" t="s">
        <v>942</v>
      </c>
      <c r="F77" s="6" t="s">
        <v>943</v>
      </c>
      <c r="G77" s="6" t="s">
        <v>267</v>
      </c>
    </row>
    <row r="78" spans="1:7" ht="38" customHeight="1">
      <c r="A78" s="4" t="s">
        <v>302</v>
      </c>
      <c r="B78" s="4" t="s">
        <v>303</v>
      </c>
      <c r="C78" s="4" t="s">
        <v>941</v>
      </c>
      <c r="D78" s="4" t="s">
        <v>461</v>
      </c>
      <c r="E78" s="4" t="s">
        <v>942</v>
      </c>
      <c r="F78" s="4" t="s">
        <v>943</v>
      </c>
      <c r="G78" s="4" t="s">
        <v>267</v>
      </c>
    </row>
    <row r="79" spans="1:7" ht="38" customHeight="1">
      <c r="A79" s="6" t="s">
        <v>304</v>
      </c>
      <c r="B79" s="6" t="s">
        <v>305</v>
      </c>
      <c r="C79" s="6" t="s">
        <v>941</v>
      </c>
      <c r="D79" s="6" t="s">
        <v>461</v>
      </c>
      <c r="E79" s="6" t="s">
        <v>942</v>
      </c>
      <c r="F79" s="6" t="s">
        <v>943</v>
      </c>
      <c r="G79" s="6" t="s">
        <v>267</v>
      </c>
    </row>
    <row r="80" spans="1:7" ht="38" customHeight="1">
      <c r="A80" s="4" t="s">
        <v>306</v>
      </c>
      <c r="B80" s="4" t="s">
        <v>307</v>
      </c>
      <c r="C80" s="4" t="s">
        <v>941</v>
      </c>
      <c r="D80" s="4" t="s">
        <v>461</v>
      </c>
      <c r="E80" s="4" t="s">
        <v>942</v>
      </c>
      <c r="F80" s="4" t="s">
        <v>943</v>
      </c>
      <c r="G80" s="4" t="s">
        <v>267</v>
      </c>
    </row>
    <row r="81" spans="1:7" ht="38" customHeight="1">
      <c r="A81" s="6" t="s">
        <v>308</v>
      </c>
      <c r="B81" s="6" t="s">
        <v>309</v>
      </c>
      <c r="C81" s="6" t="s">
        <v>941</v>
      </c>
      <c r="D81" s="6" t="s">
        <v>461</v>
      </c>
      <c r="E81" s="6" t="s">
        <v>942</v>
      </c>
      <c r="F81" s="6" t="s">
        <v>943</v>
      </c>
      <c r="G81" s="6" t="s">
        <v>267</v>
      </c>
    </row>
    <row r="82" spans="1:7" ht="38" customHeight="1">
      <c r="A82" s="4" t="s">
        <v>310</v>
      </c>
      <c r="B82" s="4" t="s">
        <v>311</v>
      </c>
      <c r="C82" s="4" t="s">
        <v>941</v>
      </c>
      <c r="D82" s="4" t="s">
        <v>461</v>
      </c>
      <c r="E82" s="4" t="s">
        <v>942</v>
      </c>
      <c r="F82" s="4" t="s">
        <v>943</v>
      </c>
      <c r="G82" s="4" t="s">
        <v>267</v>
      </c>
    </row>
    <row r="83" spans="1:7" ht="38" customHeight="1">
      <c r="A83" s="6" t="s">
        <v>312</v>
      </c>
      <c r="B83" s="6" t="s">
        <v>313</v>
      </c>
      <c r="C83" s="6" t="s">
        <v>941</v>
      </c>
      <c r="D83" s="6" t="s">
        <v>461</v>
      </c>
      <c r="E83" s="6" t="s">
        <v>942</v>
      </c>
      <c r="F83" s="6" t="s">
        <v>943</v>
      </c>
      <c r="G83" s="6" t="s">
        <v>267</v>
      </c>
    </row>
    <row r="84" spans="1:7" ht="38" customHeight="1">
      <c r="A84" s="4" t="s">
        <v>314</v>
      </c>
      <c r="B84" s="4" t="s">
        <v>315</v>
      </c>
      <c r="C84" s="4" t="s">
        <v>941</v>
      </c>
      <c r="D84" s="4" t="s">
        <v>461</v>
      </c>
      <c r="E84" s="4" t="s">
        <v>942</v>
      </c>
      <c r="F84" s="4" t="s">
        <v>943</v>
      </c>
      <c r="G84" s="4" t="s">
        <v>267</v>
      </c>
    </row>
    <row r="85" spans="1:7" ht="38" customHeight="1">
      <c r="A85" s="6" t="s">
        <v>316</v>
      </c>
      <c r="B85" s="6" t="s">
        <v>317</v>
      </c>
      <c r="C85" s="6" t="s">
        <v>941</v>
      </c>
      <c r="D85" s="6" t="s">
        <v>461</v>
      </c>
      <c r="E85" s="6" t="s">
        <v>942</v>
      </c>
      <c r="F85" s="6" t="s">
        <v>943</v>
      </c>
      <c r="G85" s="6" t="s">
        <v>267</v>
      </c>
    </row>
    <row r="86" spans="1:7" ht="38" customHeight="1">
      <c r="A86" s="4" t="s">
        <v>318</v>
      </c>
      <c r="B86" s="4" t="s">
        <v>319</v>
      </c>
      <c r="C86" s="4" t="s">
        <v>941</v>
      </c>
      <c r="D86" s="4" t="s">
        <v>461</v>
      </c>
      <c r="E86" s="4" t="s">
        <v>942</v>
      </c>
      <c r="F86" s="4" t="s">
        <v>943</v>
      </c>
      <c r="G86" s="4" t="s">
        <v>267</v>
      </c>
    </row>
    <row r="87" spans="1:7" ht="38" customHeight="1">
      <c r="A87" s="6" t="s">
        <v>320</v>
      </c>
      <c r="B87" s="6" t="s">
        <v>321</v>
      </c>
      <c r="C87" s="6" t="s">
        <v>941</v>
      </c>
      <c r="D87" s="6" t="s">
        <v>461</v>
      </c>
      <c r="E87" s="6" t="s">
        <v>942</v>
      </c>
      <c r="F87" s="6" t="s">
        <v>943</v>
      </c>
      <c r="G87" s="6" t="s">
        <v>267</v>
      </c>
    </row>
    <row r="88" spans="1:7" ht="38" customHeight="1">
      <c r="A88" s="4" t="s">
        <v>322</v>
      </c>
      <c r="B88" s="4" t="s">
        <v>323</v>
      </c>
      <c r="C88" s="4" t="s">
        <v>941</v>
      </c>
      <c r="D88" s="4" t="s">
        <v>461</v>
      </c>
      <c r="E88" s="4" t="s">
        <v>942</v>
      </c>
      <c r="F88" s="4" t="s">
        <v>943</v>
      </c>
      <c r="G88" s="4" t="s">
        <v>267</v>
      </c>
    </row>
    <row r="89" spans="1:7" ht="38" customHeight="1">
      <c r="A89" s="6" t="s">
        <v>324</v>
      </c>
      <c r="B89" s="6" t="s">
        <v>325</v>
      </c>
      <c r="C89" s="6" t="s">
        <v>941</v>
      </c>
      <c r="D89" s="6" t="s">
        <v>461</v>
      </c>
      <c r="E89" s="6" t="s">
        <v>942</v>
      </c>
      <c r="F89" s="6" t="s">
        <v>943</v>
      </c>
      <c r="G89" s="6" t="s">
        <v>267</v>
      </c>
    </row>
    <row r="90" spans="1:7" ht="38" customHeight="1">
      <c r="A90" s="4" t="s">
        <v>326</v>
      </c>
      <c r="B90" s="4" t="s">
        <v>327</v>
      </c>
      <c r="C90" s="4" t="s">
        <v>941</v>
      </c>
      <c r="D90" s="4" t="s">
        <v>461</v>
      </c>
      <c r="E90" s="4" t="s">
        <v>942</v>
      </c>
      <c r="F90" s="4" t="s">
        <v>943</v>
      </c>
      <c r="G90" s="4" t="s">
        <v>267</v>
      </c>
    </row>
    <row r="91" spans="1:7" ht="38" customHeight="1">
      <c r="A91" s="6" t="s">
        <v>328</v>
      </c>
      <c r="B91" s="6" t="s">
        <v>329</v>
      </c>
      <c r="C91" s="6" t="s">
        <v>941</v>
      </c>
      <c r="D91" s="6" t="s">
        <v>461</v>
      </c>
      <c r="E91" s="6" t="s">
        <v>942</v>
      </c>
      <c r="F91" s="6" t="s">
        <v>943</v>
      </c>
      <c r="G91" s="6" t="s">
        <v>267</v>
      </c>
    </row>
    <row r="92" spans="1:7" ht="38" customHeight="1">
      <c r="A92" s="4" t="s">
        <v>330</v>
      </c>
      <c r="B92" s="4" t="s">
        <v>331</v>
      </c>
      <c r="C92" s="4" t="s">
        <v>941</v>
      </c>
      <c r="D92" s="4" t="s">
        <v>461</v>
      </c>
      <c r="E92" s="4" t="s">
        <v>942</v>
      </c>
      <c r="F92" s="4" t="s">
        <v>943</v>
      </c>
      <c r="G92" s="4" t="s">
        <v>267</v>
      </c>
    </row>
    <row r="93" spans="1:7" ht="38" customHeight="1">
      <c r="A93" s="6" t="s">
        <v>332</v>
      </c>
      <c r="B93" s="6" t="s">
        <v>333</v>
      </c>
      <c r="C93" s="6" t="s">
        <v>941</v>
      </c>
      <c r="D93" s="6" t="s">
        <v>461</v>
      </c>
      <c r="E93" s="6" t="s">
        <v>942</v>
      </c>
      <c r="F93" s="6" t="s">
        <v>943</v>
      </c>
      <c r="G93" s="6" t="s">
        <v>267</v>
      </c>
    </row>
    <row r="94" spans="1:7" ht="38" customHeight="1">
      <c r="A94" s="4" t="s">
        <v>334</v>
      </c>
      <c r="B94" s="4" t="s">
        <v>335</v>
      </c>
      <c r="C94" s="4" t="s">
        <v>941</v>
      </c>
      <c r="D94" s="4" t="s">
        <v>461</v>
      </c>
      <c r="E94" s="4" t="s">
        <v>942</v>
      </c>
      <c r="F94" s="4" t="s">
        <v>943</v>
      </c>
      <c r="G94" s="4" t="s">
        <v>267</v>
      </c>
    </row>
    <row r="95" spans="1:7" ht="38" customHeight="1">
      <c r="A95" s="6" t="s">
        <v>336</v>
      </c>
      <c r="B95" s="6" t="s">
        <v>337</v>
      </c>
      <c r="C95" s="6" t="s">
        <v>941</v>
      </c>
      <c r="D95" s="6" t="s">
        <v>461</v>
      </c>
      <c r="E95" s="6" t="s">
        <v>942</v>
      </c>
      <c r="F95" s="6" t="s">
        <v>943</v>
      </c>
      <c r="G95" s="6" t="s">
        <v>267</v>
      </c>
    </row>
    <row r="96" spans="1:7" ht="38" customHeight="1">
      <c r="A96" s="4" t="s">
        <v>338</v>
      </c>
      <c r="B96" s="4" t="s">
        <v>339</v>
      </c>
      <c r="C96" s="4" t="s">
        <v>941</v>
      </c>
      <c r="D96" s="4" t="s">
        <v>461</v>
      </c>
      <c r="E96" s="4" t="s">
        <v>942</v>
      </c>
      <c r="F96" s="4" t="s">
        <v>943</v>
      </c>
      <c r="G96" s="4" t="s">
        <v>267</v>
      </c>
    </row>
    <row r="97" spans="1:7" ht="38" customHeight="1">
      <c r="A97" s="6" t="s">
        <v>340</v>
      </c>
      <c r="B97" s="6" t="s">
        <v>341</v>
      </c>
      <c r="C97" s="6" t="s">
        <v>941</v>
      </c>
      <c r="D97" s="6" t="s">
        <v>461</v>
      </c>
      <c r="E97" s="6" t="s">
        <v>942</v>
      </c>
      <c r="F97" s="6" t="s">
        <v>943</v>
      </c>
      <c r="G97" s="6" t="s">
        <v>267</v>
      </c>
    </row>
    <row r="98" spans="1:7" ht="38" customHeight="1">
      <c r="A98" s="4" t="s">
        <v>342</v>
      </c>
      <c r="B98" s="4" t="s">
        <v>343</v>
      </c>
      <c r="C98" s="4" t="s">
        <v>941</v>
      </c>
      <c r="D98" s="4" t="s">
        <v>461</v>
      </c>
      <c r="E98" s="4" t="s">
        <v>942</v>
      </c>
      <c r="F98" s="4" t="s">
        <v>943</v>
      </c>
      <c r="G98" s="4" t="s">
        <v>267</v>
      </c>
    </row>
    <row r="99" spans="1:7" ht="38" customHeight="1">
      <c r="A99" s="6" t="s">
        <v>344</v>
      </c>
      <c r="B99" s="6" t="s">
        <v>345</v>
      </c>
      <c r="C99" s="6" t="s">
        <v>941</v>
      </c>
      <c r="D99" s="6" t="s">
        <v>461</v>
      </c>
      <c r="E99" s="6" t="s">
        <v>942</v>
      </c>
      <c r="F99" s="6" t="s">
        <v>943</v>
      </c>
      <c r="G99" s="6" t="s">
        <v>267</v>
      </c>
    </row>
    <row r="100" spans="1:7" ht="38" customHeight="1">
      <c r="A100" s="4" t="s">
        <v>346</v>
      </c>
      <c r="B100" s="4" t="s">
        <v>347</v>
      </c>
      <c r="C100" s="4" t="s">
        <v>941</v>
      </c>
      <c r="D100" s="4" t="s">
        <v>461</v>
      </c>
      <c r="E100" s="4" t="s">
        <v>942</v>
      </c>
      <c r="F100" s="4" t="s">
        <v>943</v>
      </c>
      <c r="G100" s="4" t="s">
        <v>267</v>
      </c>
    </row>
    <row r="101" spans="1:7" ht="38" customHeight="1">
      <c r="A101" s="6" t="s">
        <v>348</v>
      </c>
      <c r="B101" s="6" t="s">
        <v>349</v>
      </c>
      <c r="C101" s="6" t="s">
        <v>941</v>
      </c>
      <c r="D101" s="6" t="s">
        <v>461</v>
      </c>
      <c r="E101" s="6" t="s">
        <v>942</v>
      </c>
      <c r="F101" s="6" t="s">
        <v>943</v>
      </c>
      <c r="G101" s="6" t="s">
        <v>267</v>
      </c>
    </row>
    <row r="102" spans="1:7" ht="38" customHeight="1">
      <c r="A102" s="4" t="s">
        <v>350</v>
      </c>
      <c r="B102" s="4" t="s">
        <v>351</v>
      </c>
      <c r="C102" s="4" t="s">
        <v>941</v>
      </c>
      <c r="D102" s="4" t="s">
        <v>461</v>
      </c>
      <c r="E102" s="4" t="s">
        <v>942</v>
      </c>
      <c r="F102" s="4" t="s">
        <v>943</v>
      </c>
      <c r="G102" s="4" t="s">
        <v>267</v>
      </c>
    </row>
    <row r="103" spans="1:7" ht="38" customHeight="1">
      <c r="A103" s="6" t="s">
        <v>352</v>
      </c>
      <c r="B103" s="6" t="s">
        <v>353</v>
      </c>
      <c r="C103" s="6" t="s">
        <v>941</v>
      </c>
      <c r="D103" s="6" t="s">
        <v>461</v>
      </c>
      <c r="E103" s="6" t="s">
        <v>942</v>
      </c>
      <c r="F103" s="6" t="s">
        <v>943</v>
      </c>
      <c r="G103" s="6" t="s">
        <v>267</v>
      </c>
    </row>
    <row r="104" spans="1:7" ht="38" customHeight="1">
      <c r="A104" s="4" t="s">
        <v>356</v>
      </c>
      <c r="B104" s="4" t="s">
        <v>357</v>
      </c>
      <c r="C104" s="4" t="s">
        <v>941</v>
      </c>
      <c r="D104" s="4" t="s">
        <v>461</v>
      </c>
      <c r="E104" s="4" t="s">
        <v>942</v>
      </c>
      <c r="F104" s="4" t="s">
        <v>943</v>
      </c>
      <c r="G104" s="4" t="s">
        <v>267</v>
      </c>
    </row>
    <row r="105" spans="1:7" ht="38" customHeight="1">
      <c r="A105" s="6" t="s">
        <v>358</v>
      </c>
      <c r="B105" s="6" t="s">
        <v>359</v>
      </c>
      <c r="C105" s="6" t="s">
        <v>941</v>
      </c>
      <c r="D105" s="6" t="s">
        <v>461</v>
      </c>
      <c r="E105" s="6" t="s">
        <v>942</v>
      </c>
      <c r="F105" s="6" t="s">
        <v>943</v>
      </c>
      <c r="G105" s="6" t="s">
        <v>267</v>
      </c>
    </row>
    <row r="106" spans="1:7" ht="38" customHeight="1">
      <c r="A106" s="4" t="s">
        <v>360</v>
      </c>
      <c r="B106" s="4" t="s">
        <v>361</v>
      </c>
      <c r="C106" s="4" t="s">
        <v>941</v>
      </c>
      <c r="D106" s="4" t="s">
        <v>461</v>
      </c>
      <c r="E106" s="4" t="s">
        <v>942</v>
      </c>
      <c r="F106" s="4" t="s">
        <v>943</v>
      </c>
      <c r="G106" s="4" t="s">
        <v>267</v>
      </c>
    </row>
    <row r="107" spans="1:7" ht="38" customHeight="1">
      <c r="A107" s="6" t="s">
        <v>362</v>
      </c>
      <c r="B107" s="6" t="s">
        <v>363</v>
      </c>
      <c r="C107" s="6" t="s">
        <v>941</v>
      </c>
      <c r="D107" s="6" t="s">
        <v>461</v>
      </c>
      <c r="E107" s="6" t="s">
        <v>942</v>
      </c>
      <c r="F107" s="6" t="s">
        <v>943</v>
      </c>
      <c r="G107" s="6" t="s">
        <v>267</v>
      </c>
    </row>
    <row r="108" spans="1:7" ht="38" customHeight="1">
      <c r="A108" s="4" t="s">
        <v>365</v>
      </c>
      <c r="B108" s="4" t="s">
        <v>366</v>
      </c>
      <c r="C108" s="4" t="s">
        <v>941</v>
      </c>
      <c r="D108" s="4" t="s">
        <v>461</v>
      </c>
      <c r="E108" s="4" t="s">
        <v>942</v>
      </c>
      <c r="F108" s="4" t="s">
        <v>943</v>
      </c>
      <c r="G108" s="4" t="s">
        <v>267</v>
      </c>
    </row>
    <row r="109" spans="1:7" ht="38" customHeight="1">
      <c r="A109" s="6" t="s">
        <v>367</v>
      </c>
      <c r="B109" s="6" t="s">
        <v>368</v>
      </c>
      <c r="C109" s="6" t="s">
        <v>941</v>
      </c>
      <c r="D109" s="6" t="s">
        <v>461</v>
      </c>
      <c r="E109" s="6" t="s">
        <v>942</v>
      </c>
      <c r="F109" s="6" t="s">
        <v>943</v>
      </c>
      <c r="G109" s="6" t="s">
        <v>267</v>
      </c>
    </row>
    <row r="110" spans="1:7" ht="38" customHeight="1">
      <c r="A110" s="4" t="s">
        <v>369</v>
      </c>
      <c r="B110" s="4" t="s">
        <v>370</v>
      </c>
      <c r="C110" s="4" t="s">
        <v>941</v>
      </c>
      <c r="D110" s="4" t="s">
        <v>461</v>
      </c>
      <c r="E110" s="4" t="s">
        <v>942</v>
      </c>
      <c r="F110" s="4" t="s">
        <v>943</v>
      </c>
      <c r="G110" s="4" t="s">
        <v>267</v>
      </c>
    </row>
    <row r="111" spans="1:7" ht="38" customHeight="1">
      <c r="A111" s="6" t="s">
        <v>371</v>
      </c>
      <c r="B111" s="6" t="s">
        <v>372</v>
      </c>
      <c r="C111" s="6" t="s">
        <v>941</v>
      </c>
      <c r="D111" s="6" t="s">
        <v>461</v>
      </c>
      <c r="E111" s="6" t="s">
        <v>942</v>
      </c>
      <c r="F111" s="6" t="s">
        <v>943</v>
      </c>
      <c r="G111" s="6" t="s">
        <v>267</v>
      </c>
    </row>
    <row r="112" spans="1:7" ht="38" customHeight="1">
      <c r="A112" s="4" t="s">
        <v>373</v>
      </c>
      <c r="B112" s="4" t="s">
        <v>374</v>
      </c>
      <c r="C112" s="4" t="s">
        <v>941</v>
      </c>
      <c r="D112" s="4" t="s">
        <v>461</v>
      </c>
      <c r="E112" s="4" t="s">
        <v>942</v>
      </c>
      <c r="F112" s="4" t="s">
        <v>943</v>
      </c>
      <c r="G112" s="4" t="s">
        <v>267</v>
      </c>
    </row>
    <row r="113" spans="1:7" ht="38" customHeight="1">
      <c r="A113" s="6" t="s">
        <v>375</v>
      </c>
      <c r="B113" s="6" t="s">
        <v>376</v>
      </c>
      <c r="C113" s="6" t="s">
        <v>941</v>
      </c>
      <c r="D113" s="6" t="s">
        <v>461</v>
      </c>
      <c r="E113" s="6" t="s">
        <v>942</v>
      </c>
      <c r="F113" s="6" t="s">
        <v>943</v>
      </c>
      <c r="G113" s="6" t="s">
        <v>267</v>
      </c>
    </row>
    <row r="114" spans="1:7" ht="38" customHeight="1">
      <c r="A114" s="4" t="s">
        <v>377</v>
      </c>
      <c r="B114" s="4" t="s">
        <v>378</v>
      </c>
      <c r="C114" s="4" t="s">
        <v>941</v>
      </c>
      <c r="D114" s="4" t="s">
        <v>461</v>
      </c>
      <c r="E114" s="4" t="s">
        <v>942</v>
      </c>
      <c r="F114" s="4" t="s">
        <v>943</v>
      </c>
      <c r="G114" s="4" t="s">
        <v>267</v>
      </c>
    </row>
    <row r="115" spans="1:7" ht="38" customHeight="1">
      <c r="A115" s="6" t="s">
        <v>379</v>
      </c>
      <c r="B115" s="6" t="s">
        <v>380</v>
      </c>
      <c r="C115" s="6" t="s">
        <v>941</v>
      </c>
      <c r="D115" s="6" t="s">
        <v>461</v>
      </c>
      <c r="E115" s="6" t="s">
        <v>942</v>
      </c>
      <c r="F115" s="6" t="s">
        <v>943</v>
      </c>
      <c r="G115" s="6" t="s">
        <v>267</v>
      </c>
    </row>
    <row r="116" spans="1:7" ht="38" customHeight="1">
      <c r="A116" s="4" t="s">
        <v>381</v>
      </c>
      <c r="B116" s="4" t="s">
        <v>382</v>
      </c>
      <c r="C116" s="4" t="s">
        <v>941</v>
      </c>
      <c r="D116" s="4" t="s">
        <v>461</v>
      </c>
      <c r="E116" s="4" t="s">
        <v>942</v>
      </c>
      <c r="F116" s="4" t="s">
        <v>943</v>
      </c>
      <c r="G116" s="4" t="s">
        <v>267</v>
      </c>
    </row>
    <row r="117" spans="1:7" ht="38" customHeight="1">
      <c r="A117" s="6" t="s">
        <v>384</v>
      </c>
      <c r="B117" s="6" t="s">
        <v>385</v>
      </c>
      <c r="C117" s="6" t="s">
        <v>941</v>
      </c>
      <c r="D117" s="6" t="s">
        <v>461</v>
      </c>
      <c r="E117" s="6" t="s">
        <v>942</v>
      </c>
      <c r="F117" s="6" t="s">
        <v>943</v>
      </c>
      <c r="G117" s="6" t="s">
        <v>267</v>
      </c>
    </row>
    <row r="118" spans="1:7" ht="38" customHeight="1">
      <c r="A118" s="4" t="s">
        <v>386</v>
      </c>
      <c r="B118" s="4" t="s">
        <v>387</v>
      </c>
      <c r="C118" s="4" t="s">
        <v>941</v>
      </c>
      <c r="D118" s="4" t="s">
        <v>461</v>
      </c>
      <c r="E118" s="4" t="s">
        <v>942</v>
      </c>
      <c r="F118" s="4" t="s">
        <v>943</v>
      </c>
      <c r="G118" s="4" t="s">
        <v>267</v>
      </c>
    </row>
    <row r="119" spans="1:7" ht="38" customHeight="1">
      <c r="A119" s="6" t="s">
        <v>388</v>
      </c>
      <c r="B119" s="6" t="s">
        <v>389</v>
      </c>
      <c r="C119" s="6" t="s">
        <v>941</v>
      </c>
      <c r="D119" s="6" t="s">
        <v>461</v>
      </c>
      <c r="E119" s="6" t="s">
        <v>942</v>
      </c>
      <c r="F119" s="6" t="s">
        <v>943</v>
      </c>
      <c r="G119" s="6" t="s">
        <v>267</v>
      </c>
    </row>
    <row r="120" spans="1:7" ht="38" customHeight="1">
      <c r="A120" s="4" t="s">
        <v>391</v>
      </c>
      <c r="B120" s="4" t="s">
        <v>392</v>
      </c>
      <c r="C120" s="4" t="s">
        <v>941</v>
      </c>
      <c r="D120" s="4" t="s">
        <v>461</v>
      </c>
      <c r="E120" s="4" t="s">
        <v>942</v>
      </c>
      <c r="F120" s="4" t="s">
        <v>943</v>
      </c>
      <c r="G120" s="4" t="s">
        <v>267</v>
      </c>
    </row>
    <row r="121" spans="1:7" ht="38" customHeight="1">
      <c r="A121" s="6" t="s">
        <v>394</v>
      </c>
      <c r="B121" s="6" t="s">
        <v>395</v>
      </c>
      <c r="C121" s="6" t="s">
        <v>941</v>
      </c>
      <c r="D121" s="6" t="s">
        <v>461</v>
      </c>
      <c r="E121" s="6" t="s">
        <v>942</v>
      </c>
      <c r="F121" s="6" t="s">
        <v>943</v>
      </c>
      <c r="G121" s="6" t="s">
        <v>267</v>
      </c>
    </row>
    <row r="122" spans="1:7" ht="38" customHeight="1">
      <c r="A122" s="4" t="s">
        <v>397</v>
      </c>
      <c r="B122" s="4" t="s">
        <v>398</v>
      </c>
      <c r="C122" s="4" t="s">
        <v>941</v>
      </c>
      <c r="D122" s="4" t="s">
        <v>461</v>
      </c>
      <c r="E122" s="4" t="s">
        <v>942</v>
      </c>
      <c r="F122" s="4" t="s">
        <v>943</v>
      </c>
      <c r="G122" s="4" t="s">
        <v>267</v>
      </c>
    </row>
    <row r="123" spans="1:7" ht="30" customHeight="1">
      <c r="A123" s="6" t="s">
        <v>399</v>
      </c>
      <c r="B123" s="6" t="s">
        <v>400</v>
      </c>
      <c r="C123" s="6" t="s">
        <v>944</v>
      </c>
      <c r="D123" s="6" t="s">
        <v>945</v>
      </c>
      <c r="E123" s="6" t="s">
        <v>946</v>
      </c>
      <c r="F123" s="6" t="s">
        <v>947</v>
      </c>
      <c r="G123" s="6" t="s">
        <v>402</v>
      </c>
    </row>
    <row r="124" spans="1:7" ht="38" customHeight="1">
      <c r="A124" s="4" t="s">
        <v>403</v>
      </c>
      <c r="B124" s="4" t="s">
        <v>404</v>
      </c>
      <c r="C124" s="4" t="s">
        <v>948</v>
      </c>
      <c r="D124" s="4" t="s">
        <v>461</v>
      </c>
      <c r="E124" s="4" t="s">
        <v>949</v>
      </c>
      <c r="F124" s="4" t="s">
        <v>943</v>
      </c>
      <c r="G124" s="4" t="s">
        <v>409</v>
      </c>
    </row>
    <row r="125" spans="1:7" ht="38" customHeight="1">
      <c r="A125" s="6" t="s">
        <v>410</v>
      </c>
      <c r="B125" s="6" t="s">
        <v>411</v>
      </c>
      <c r="C125" s="6" t="s">
        <v>948</v>
      </c>
      <c r="D125" s="6" t="s">
        <v>461</v>
      </c>
      <c r="E125" s="6" t="s">
        <v>949</v>
      </c>
      <c r="F125" s="6" t="s">
        <v>943</v>
      </c>
      <c r="G125" s="6" t="s">
        <v>413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25"/>
  <sheetViews>
    <sheetView showGridLines="0" workbookViewId="0">
      <pane xSplit="2" ySplit="5" topLeftCell="H6" activePane="bottomRight" state="frozen"/>
      <selection pane="topRight"/>
      <selection pane="bottomLeft"/>
      <selection pane="bottomRight" activeCell="H7" sqref="H7"/>
    </sheetView>
  </sheetViews>
  <sheetFormatPr defaultRowHeight="14"/>
  <cols>
    <col min="1" max="1" width="11" customWidth="1"/>
    <col min="2" max="2" width="34" customWidth="1"/>
    <col min="3" max="3" width="55" customWidth="1"/>
    <col min="4" max="4" width="85" customWidth="1"/>
    <col min="5" max="5" width="78" customWidth="1"/>
    <col min="6" max="7" width="80" customWidth="1"/>
    <col min="8" max="8" width="92" customWidth="1"/>
    <col min="9" max="9" width="29" customWidth="1"/>
  </cols>
  <sheetData>
    <row r="1" spans="1:9">
      <c r="A1" s="1"/>
      <c r="B1" s="1"/>
      <c r="C1" s="1"/>
      <c r="D1" s="1"/>
      <c r="E1" s="1"/>
      <c r="F1" s="1"/>
      <c r="G1" s="1"/>
      <c r="H1" s="1"/>
      <c r="I1" s="1"/>
    </row>
    <row r="2" spans="1:9" ht="18">
      <c r="A2" s="2" t="s">
        <v>950</v>
      </c>
      <c r="B2" s="1"/>
      <c r="C2" s="1"/>
      <c r="D2" s="1"/>
      <c r="E2" s="1"/>
      <c r="F2" s="1"/>
      <c r="G2" s="1"/>
      <c r="H2" s="1"/>
      <c r="I2" s="1"/>
    </row>
    <row r="3" spans="1:9" ht="26" customHeight="1">
      <c r="A3" s="3" t="s">
        <v>951</v>
      </c>
      <c r="B3" s="1"/>
      <c r="C3" s="1"/>
      <c r="D3" s="1"/>
      <c r="E3" s="1"/>
      <c r="F3" s="1"/>
      <c r="G3" s="1"/>
      <c r="H3" s="1"/>
      <c r="I3" s="1"/>
    </row>
    <row r="4" spans="1:9">
      <c r="A4" s="1"/>
      <c r="B4" s="1"/>
      <c r="C4" s="1"/>
      <c r="D4" s="1"/>
      <c r="E4" s="1"/>
      <c r="F4" s="1"/>
      <c r="G4" s="1"/>
      <c r="H4" s="1"/>
      <c r="I4" s="1"/>
    </row>
    <row r="5" spans="1:9" ht="34" customHeight="1">
      <c r="A5" s="5" t="s">
        <v>59</v>
      </c>
      <c r="B5" s="5" t="s">
        <v>2</v>
      </c>
      <c r="C5" s="5" t="s">
        <v>952</v>
      </c>
      <c r="D5" s="5" t="s">
        <v>953</v>
      </c>
      <c r="E5" s="5" t="s">
        <v>954</v>
      </c>
      <c r="F5" s="5" t="s">
        <v>955</v>
      </c>
      <c r="G5" s="5" t="s">
        <v>956</v>
      </c>
      <c r="H5" s="5" t="s">
        <v>957</v>
      </c>
      <c r="I5" s="5" t="s">
        <v>65</v>
      </c>
    </row>
    <row r="6" spans="1:9" ht="51" customHeight="1">
      <c r="A6" s="4" t="s">
        <v>66</v>
      </c>
      <c r="B6" s="4" t="s">
        <v>32</v>
      </c>
      <c r="C6" s="4" t="s">
        <v>958</v>
      </c>
      <c r="D6" s="4" t="s">
        <v>959</v>
      </c>
      <c r="E6" s="4" t="s">
        <v>960</v>
      </c>
      <c r="F6" s="4" t="s">
        <v>961</v>
      </c>
      <c r="G6" s="4" t="s">
        <v>962</v>
      </c>
      <c r="H6" s="4" t="s">
        <v>963</v>
      </c>
      <c r="I6" s="4" t="s">
        <v>71</v>
      </c>
    </row>
    <row r="7" spans="1:9" ht="51" customHeight="1">
      <c r="A7" s="6" t="s">
        <v>72</v>
      </c>
      <c r="B7" s="6" t="s">
        <v>11</v>
      </c>
      <c r="C7" s="6" t="s">
        <v>964</v>
      </c>
      <c r="D7" s="6" t="s">
        <v>965</v>
      </c>
      <c r="E7" s="6" t="s">
        <v>966</v>
      </c>
      <c r="F7" s="6" t="s">
        <v>967</v>
      </c>
      <c r="G7" s="6" t="s">
        <v>968</v>
      </c>
      <c r="H7" s="6" t="s">
        <v>963</v>
      </c>
      <c r="I7" s="6" t="s">
        <v>75</v>
      </c>
    </row>
    <row r="8" spans="1:9" ht="51" customHeight="1">
      <c r="A8" s="4" t="s">
        <v>76</v>
      </c>
      <c r="B8" s="4" t="s">
        <v>25</v>
      </c>
      <c r="C8" s="4" t="s">
        <v>969</v>
      </c>
      <c r="D8" s="4" t="s">
        <v>970</v>
      </c>
      <c r="E8" s="4" t="s">
        <v>971</v>
      </c>
      <c r="F8" s="4" t="s">
        <v>972</v>
      </c>
      <c r="G8" s="4" t="s">
        <v>973</v>
      </c>
      <c r="H8" s="4" t="s">
        <v>974</v>
      </c>
      <c r="I8" s="4" t="s">
        <v>79</v>
      </c>
    </row>
    <row r="9" spans="1:9" ht="38" customHeight="1">
      <c r="A9" s="6" t="s">
        <v>80</v>
      </c>
      <c r="B9" s="6" t="s">
        <v>18</v>
      </c>
      <c r="C9" s="6" t="s">
        <v>975</v>
      </c>
      <c r="D9" s="6" t="s">
        <v>976</v>
      </c>
      <c r="E9" s="6" t="s">
        <v>977</v>
      </c>
      <c r="F9" s="6" t="s">
        <v>978</v>
      </c>
      <c r="G9" s="6" t="s">
        <v>979</v>
      </c>
      <c r="H9" s="6" t="s">
        <v>980</v>
      </c>
      <c r="I9" s="6" t="s">
        <v>82</v>
      </c>
    </row>
    <row r="10" spans="1:9" ht="51" customHeight="1">
      <c r="A10" s="4" t="s">
        <v>83</v>
      </c>
      <c r="B10" s="4" t="s">
        <v>39</v>
      </c>
      <c r="C10" s="4" t="s">
        <v>981</v>
      </c>
      <c r="D10" s="4" t="s">
        <v>982</v>
      </c>
      <c r="E10" s="4" t="s">
        <v>983</v>
      </c>
      <c r="F10" s="4" t="s">
        <v>984</v>
      </c>
      <c r="G10" s="4" t="s">
        <v>985</v>
      </c>
      <c r="H10" s="4" t="s">
        <v>980</v>
      </c>
      <c r="I10" s="4" t="s">
        <v>85</v>
      </c>
    </row>
    <row r="11" spans="1:9" ht="51" customHeight="1">
      <c r="A11" s="6" t="s">
        <v>86</v>
      </c>
      <c r="B11" s="6" t="s">
        <v>87</v>
      </c>
      <c r="C11" s="6" t="s">
        <v>986</v>
      </c>
      <c r="D11" s="6" t="s">
        <v>987</v>
      </c>
      <c r="E11" s="6" t="s">
        <v>988</v>
      </c>
      <c r="F11" s="6" t="s">
        <v>989</v>
      </c>
      <c r="G11" s="6" t="s">
        <v>990</v>
      </c>
      <c r="H11" s="6" t="s">
        <v>963</v>
      </c>
      <c r="I11" s="6" t="s">
        <v>89</v>
      </c>
    </row>
    <row r="12" spans="1:9" ht="51" customHeight="1">
      <c r="A12" s="4" t="s">
        <v>90</v>
      </c>
      <c r="B12" s="4" t="s">
        <v>91</v>
      </c>
      <c r="C12" s="4" t="s">
        <v>991</v>
      </c>
      <c r="D12" s="4" t="s">
        <v>992</v>
      </c>
      <c r="E12" s="4" t="s">
        <v>993</v>
      </c>
      <c r="F12" s="4" t="s">
        <v>994</v>
      </c>
      <c r="G12" s="4" t="s">
        <v>995</v>
      </c>
      <c r="H12" s="4" t="s">
        <v>996</v>
      </c>
      <c r="I12" s="4" t="s">
        <v>93</v>
      </c>
    </row>
    <row r="13" spans="1:9" ht="51" customHeight="1">
      <c r="A13" s="6" t="s">
        <v>94</v>
      </c>
      <c r="B13" s="6" t="s">
        <v>95</v>
      </c>
      <c r="C13" s="6" t="s">
        <v>997</v>
      </c>
      <c r="D13" s="6" t="s">
        <v>998</v>
      </c>
      <c r="E13" s="6" t="s">
        <v>999</v>
      </c>
      <c r="F13" s="6" t="s">
        <v>1000</v>
      </c>
      <c r="G13" s="6" t="s">
        <v>1001</v>
      </c>
      <c r="H13" s="6" t="s">
        <v>963</v>
      </c>
      <c r="I13" s="6" t="s">
        <v>97</v>
      </c>
    </row>
    <row r="14" spans="1:9" ht="51" customHeight="1">
      <c r="A14" s="4" t="s">
        <v>98</v>
      </c>
      <c r="B14" s="4" t="s">
        <v>99</v>
      </c>
      <c r="C14" s="4" t="s">
        <v>1002</v>
      </c>
      <c r="D14" s="4" t="s">
        <v>1003</v>
      </c>
      <c r="E14" s="4" t="s">
        <v>1004</v>
      </c>
      <c r="F14" s="4" t="s">
        <v>461</v>
      </c>
      <c r="G14" s="4" t="s">
        <v>1005</v>
      </c>
      <c r="H14" s="4" t="s">
        <v>963</v>
      </c>
      <c r="I14" s="4" t="s">
        <v>100</v>
      </c>
    </row>
    <row r="15" spans="1:9" ht="51" customHeight="1">
      <c r="A15" s="6" t="s">
        <v>101</v>
      </c>
      <c r="B15" s="6" t="s">
        <v>102</v>
      </c>
      <c r="C15" s="6" t="s">
        <v>1006</v>
      </c>
      <c r="D15" s="6" t="s">
        <v>1007</v>
      </c>
      <c r="E15" s="6" t="s">
        <v>1008</v>
      </c>
      <c r="F15" s="6" t="s">
        <v>461</v>
      </c>
      <c r="G15" s="6" t="s">
        <v>1009</v>
      </c>
      <c r="H15" s="6" t="s">
        <v>963</v>
      </c>
      <c r="I15" s="6" t="s">
        <v>104</v>
      </c>
    </row>
    <row r="16" spans="1:9" ht="51" customHeight="1">
      <c r="A16" s="4" t="s">
        <v>105</v>
      </c>
      <c r="B16" s="4" t="s">
        <v>106</v>
      </c>
      <c r="C16" s="4" t="s">
        <v>1010</v>
      </c>
      <c r="D16" s="4" t="s">
        <v>1011</v>
      </c>
      <c r="E16" s="4" t="s">
        <v>1012</v>
      </c>
      <c r="F16" s="4" t="s">
        <v>461</v>
      </c>
      <c r="G16" s="4" t="s">
        <v>1013</v>
      </c>
      <c r="H16" s="4" t="s">
        <v>963</v>
      </c>
      <c r="I16" s="4" t="s">
        <v>107</v>
      </c>
    </row>
    <row r="17" spans="1:9" ht="51" customHeight="1">
      <c r="A17" s="6" t="s">
        <v>108</v>
      </c>
      <c r="B17" s="6" t="s">
        <v>109</v>
      </c>
      <c r="C17" s="6" t="s">
        <v>1014</v>
      </c>
      <c r="D17" s="6" t="s">
        <v>1015</v>
      </c>
      <c r="E17" s="6" t="s">
        <v>1016</v>
      </c>
      <c r="F17" s="6" t="s">
        <v>1017</v>
      </c>
      <c r="G17" s="6" t="s">
        <v>1018</v>
      </c>
      <c r="H17" s="6" t="s">
        <v>963</v>
      </c>
      <c r="I17" s="6" t="s">
        <v>110</v>
      </c>
    </row>
    <row r="18" spans="1:9" ht="51" customHeight="1">
      <c r="A18" s="4" t="s">
        <v>111</v>
      </c>
      <c r="B18" s="4" t="s">
        <v>112</v>
      </c>
      <c r="C18" s="4" t="s">
        <v>1019</v>
      </c>
      <c r="D18" s="4" t="s">
        <v>1020</v>
      </c>
      <c r="E18" s="4" t="s">
        <v>1021</v>
      </c>
      <c r="F18" s="4" t="s">
        <v>461</v>
      </c>
      <c r="G18" s="4" t="s">
        <v>1022</v>
      </c>
      <c r="H18" s="4" t="s">
        <v>963</v>
      </c>
      <c r="I18" s="4" t="s">
        <v>113</v>
      </c>
    </row>
    <row r="19" spans="1:9" ht="51" customHeight="1">
      <c r="A19" s="6" t="s">
        <v>114</v>
      </c>
      <c r="B19" s="6" t="s">
        <v>115</v>
      </c>
      <c r="C19" s="6" t="s">
        <v>1023</v>
      </c>
      <c r="D19" s="6" t="s">
        <v>1024</v>
      </c>
      <c r="E19" s="6" t="s">
        <v>1025</v>
      </c>
      <c r="F19" s="6" t="s">
        <v>1026</v>
      </c>
      <c r="G19" s="6" t="s">
        <v>1027</v>
      </c>
      <c r="H19" s="6" t="s">
        <v>963</v>
      </c>
      <c r="I19" s="6" t="s">
        <v>116</v>
      </c>
    </row>
    <row r="20" spans="1:9" ht="38" customHeight="1">
      <c r="A20" s="4" t="s">
        <v>117</v>
      </c>
      <c r="B20" s="4" t="s">
        <v>118</v>
      </c>
      <c r="C20" s="4" t="s">
        <v>1028</v>
      </c>
      <c r="D20" s="4" t="s">
        <v>1029</v>
      </c>
      <c r="E20" s="4" t="s">
        <v>1030</v>
      </c>
      <c r="F20" s="4" t="s">
        <v>461</v>
      </c>
      <c r="G20" s="4" t="s">
        <v>1031</v>
      </c>
      <c r="H20" s="4" t="s">
        <v>974</v>
      </c>
      <c r="I20" s="4" t="s">
        <v>119</v>
      </c>
    </row>
    <row r="21" spans="1:9" ht="51" customHeight="1">
      <c r="A21" s="6" t="s">
        <v>120</v>
      </c>
      <c r="B21" s="6" t="s">
        <v>121</v>
      </c>
      <c r="C21" s="6" t="s">
        <v>1032</v>
      </c>
      <c r="D21" s="6" t="s">
        <v>1033</v>
      </c>
      <c r="E21" s="6" t="s">
        <v>1034</v>
      </c>
      <c r="F21" s="6" t="s">
        <v>461</v>
      </c>
      <c r="G21" s="6" t="s">
        <v>1035</v>
      </c>
      <c r="H21" s="6" t="s">
        <v>963</v>
      </c>
      <c r="I21" s="6" t="s">
        <v>123</v>
      </c>
    </row>
    <row r="22" spans="1:9" ht="51" customHeight="1">
      <c r="A22" s="4" t="s">
        <v>124</v>
      </c>
      <c r="B22" s="4" t="s">
        <v>125</v>
      </c>
      <c r="C22" s="4" t="s">
        <v>1036</v>
      </c>
      <c r="D22" s="4" t="s">
        <v>1033</v>
      </c>
      <c r="E22" s="4" t="s">
        <v>1037</v>
      </c>
      <c r="F22" s="4" t="s">
        <v>461</v>
      </c>
      <c r="G22" s="4" t="s">
        <v>1038</v>
      </c>
      <c r="H22" s="4" t="s">
        <v>963</v>
      </c>
      <c r="I22" s="4" t="s">
        <v>126</v>
      </c>
    </row>
    <row r="23" spans="1:9" ht="51" customHeight="1">
      <c r="A23" s="6" t="s">
        <v>127</v>
      </c>
      <c r="B23" s="6" t="s">
        <v>128</v>
      </c>
      <c r="C23" s="6" t="s">
        <v>1039</v>
      </c>
      <c r="D23" s="6" t="s">
        <v>1040</v>
      </c>
      <c r="E23" s="6"/>
      <c r="F23" s="6" t="s">
        <v>1041</v>
      </c>
      <c r="G23" s="6" t="s">
        <v>1042</v>
      </c>
      <c r="H23" s="6" t="s">
        <v>963</v>
      </c>
      <c r="I23" s="6" t="s">
        <v>131</v>
      </c>
    </row>
    <row r="24" spans="1:9" ht="51" customHeight="1">
      <c r="A24" s="4" t="s">
        <v>132</v>
      </c>
      <c r="B24" s="4" t="s">
        <v>133</v>
      </c>
      <c r="C24" s="4" t="s">
        <v>1043</v>
      </c>
      <c r="D24" s="4" t="s">
        <v>1033</v>
      </c>
      <c r="E24" s="4" t="s">
        <v>1044</v>
      </c>
      <c r="F24" s="4" t="s">
        <v>461</v>
      </c>
      <c r="G24" s="4" t="s">
        <v>1045</v>
      </c>
      <c r="H24" s="4" t="s">
        <v>963</v>
      </c>
      <c r="I24" s="4" t="s">
        <v>134</v>
      </c>
    </row>
    <row r="25" spans="1:9" ht="38" customHeight="1">
      <c r="A25" s="6" t="s">
        <v>135</v>
      </c>
      <c r="B25" s="6" t="s">
        <v>136</v>
      </c>
      <c r="C25" s="6" t="s">
        <v>1046</v>
      </c>
      <c r="D25" s="6" t="s">
        <v>1047</v>
      </c>
      <c r="E25" s="6"/>
      <c r="F25" s="6" t="s">
        <v>1048</v>
      </c>
      <c r="G25" s="6" t="s">
        <v>1049</v>
      </c>
      <c r="H25" s="6" t="s">
        <v>974</v>
      </c>
      <c r="I25" s="6" t="s">
        <v>137</v>
      </c>
    </row>
    <row r="26" spans="1:9" ht="51" customHeight="1">
      <c r="A26" s="4" t="s">
        <v>138</v>
      </c>
      <c r="B26" s="4" t="s">
        <v>139</v>
      </c>
      <c r="C26" s="4" t="s">
        <v>1050</v>
      </c>
      <c r="D26" s="4" t="s">
        <v>1051</v>
      </c>
      <c r="E26" s="4" t="s">
        <v>1052</v>
      </c>
      <c r="F26" s="4" t="s">
        <v>461</v>
      </c>
      <c r="G26" s="4" t="s">
        <v>1053</v>
      </c>
      <c r="H26" s="4" t="s">
        <v>963</v>
      </c>
      <c r="I26" s="4" t="s">
        <v>140</v>
      </c>
    </row>
    <row r="27" spans="1:9" ht="38" customHeight="1">
      <c r="A27" s="6" t="s">
        <v>141</v>
      </c>
      <c r="B27" s="6" t="s">
        <v>142</v>
      </c>
      <c r="C27" s="6" t="s">
        <v>1054</v>
      </c>
      <c r="D27" s="6" t="s">
        <v>1055</v>
      </c>
      <c r="E27" s="6"/>
      <c r="F27" s="6" t="s">
        <v>1056</v>
      </c>
      <c r="G27" s="6" t="s">
        <v>1057</v>
      </c>
      <c r="H27" s="6" t="s">
        <v>974</v>
      </c>
      <c r="I27" s="6" t="s">
        <v>143</v>
      </c>
    </row>
    <row r="28" spans="1:9" ht="38" customHeight="1">
      <c r="A28" s="4" t="s">
        <v>144</v>
      </c>
      <c r="B28" s="4" t="s">
        <v>145</v>
      </c>
      <c r="C28" s="4" t="s">
        <v>1058</v>
      </c>
      <c r="D28" s="4" t="s">
        <v>1033</v>
      </c>
      <c r="E28" s="4" t="s">
        <v>1059</v>
      </c>
      <c r="F28" s="4" t="s">
        <v>461</v>
      </c>
      <c r="G28" s="4" t="s">
        <v>1060</v>
      </c>
      <c r="H28" s="4" t="s">
        <v>974</v>
      </c>
      <c r="I28" s="4" t="s">
        <v>147</v>
      </c>
    </row>
    <row r="29" spans="1:9" ht="51" customHeight="1">
      <c r="A29" s="6" t="s">
        <v>148</v>
      </c>
      <c r="B29" s="6" t="s">
        <v>149</v>
      </c>
      <c r="C29" s="6" t="s">
        <v>1061</v>
      </c>
      <c r="D29" s="6" t="s">
        <v>1062</v>
      </c>
      <c r="E29" s="6" t="s">
        <v>1063</v>
      </c>
      <c r="F29" s="6" t="s">
        <v>1064</v>
      </c>
      <c r="G29" s="6" t="s">
        <v>1065</v>
      </c>
      <c r="H29" s="6" t="s">
        <v>963</v>
      </c>
      <c r="I29" s="6" t="s">
        <v>151</v>
      </c>
    </row>
    <row r="30" spans="1:9" ht="38" customHeight="1">
      <c r="A30" s="4" t="s">
        <v>152</v>
      </c>
      <c r="B30" s="4" t="s">
        <v>153</v>
      </c>
      <c r="C30" s="4" t="s">
        <v>1066</v>
      </c>
      <c r="D30" s="4" t="s">
        <v>1033</v>
      </c>
      <c r="E30" s="4" t="s">
        <v>1067</v>
      </c>
      <c r="F30" s="4" t="s">
        <v>1068</v>
      </c>
      <c r="G30" s="4" t="s">
        <v>1069</v>
      </c>
      <c r="H30" s="4" t="s">
        <v>980</v>
      </c>
      <c r="I30" s="4" t="s">
        <v>156</v>
      </c>
    </row>
    <row r="31" spans="1:9" ht="38" customHeight="1">
      <c r="A31" s="6" t="s">
        <v>157</v>
      </c>
      <c r="B31" s="6" t="s">
        <v>158</v>
      </c>
      <c r="C31" s="6" t="s">
        <v>1070</v>
      </c>
      <c r="D31" s="6" t="s">
        <v>1071</v>
      </c>
      <c r="E31" s="6" t="s">
        <v>1072</v>
      </c>
      <c r="F31" s="6" t="s">
        <v>1073</v>
      </c>
      <c r="G31" s="6" t="s">
        <v>1074</v>
      </c>
      <c r="H31" s="6" t="s">
        <v>974</v>
      </c>
      <c r="I31" s="6" t="s">
        <v>159</v>
      </c>
    </row>
    <row r="32" spans="1:9" ht="38" customHeight="1">
      <c r="A32" s="4" t="s">
        <v>160</v>
      </c>
      <c r="B32" s="4" t="s">
        <v>161</v>
      </c>
      <c r="C32" s="4" t="s">
        <v>1075</v>
      </c>
      <c r="D32" s="4" t="s">
        <v>1076</v>
      </c>
      <c r="E32" s="4" t="s">
        <v>1077</v>
      </c>
      <c r="F32" s="4" t="s">
        <v>1078</v>
      </c>
      <c r="G32" s="4" t="s">
        <v>1079</v>
      </c>
      <c r="H32" s="4" t="s">
        <v>974</v>
      </c>
      <c r="I32" s="4" t="s">
        <v>162</v>
      </c>
    </row>
    <row r="33" spans="1:9" ht="38" customHeight="1">
      <c r="A33" s="6" t="s">
        <v>163</v>
      </c>
      <c r="B33" s="6" t="s">
        <v>164</v>
      </c>
      <c r="C33" s="6" t="s">
        <v>1080</v>
      </c>
      <c r="D33" s="6" t="s">
        <v>1081</v>
      </c>
      <c r="E33" s="6" t="s">
        <v>1082</v>
      </c>
      <c r="F33" s="6" t="s">
        <v>461</v>
      </c>
      <c r="G33" s="6" t="s">
        <v>1083</v>
      </c>
      <c r="H33" s="6" t="s">
        <v>980</v>
      </c>
      <c r="I33" s="6" t="s">
        <v>165</v>
      </c>
    </row>
    <row r="34" spans="1:9" ht="51" customHeight="1">
      <c r="A34" s="4" t="s">
        <v>166</v>
      </c>
      <c r="B34" s="4" t="s">
        <v>167</v>
      </c>
      <c r="C34" s="4" t="s">
        <v>1084</v>
      </c>
      <c r="D34" s="4" t="s">
        <v>1085</v>
      </c>
      <c r="E34" s="4" t="s">
        <v>1086</v>
      </c>
      <c r="F34" s="4" t="s">
        <v>1087</v>
      </c>
      <c r="G34" s="4" t="s">
        <v>1088</v>
      </c>
      <c r="H34" s="4" t="s">
        <v>963</v>
      </c>
      <c r="I34" s="4" t="s">
        <v>168</v>
      </c>
    </row>
    <row r="35" spans="1:9" ht="38" customHeight="1">
      <c r="A35" s="6" t="s">
        <v>169</v>
      </c>
      <c r="B35" s="6" t="s">
        <v>170</v>
      </c>
      <c r="C35" s="6" t="s">
        <v>1089</v>
      </c>
      <c r="D35" s="6" t="s">
        <v>1090</v>
      </c>
      <c r="E35" s="6" t="s">
        <v>1091</v>
      </c>
      <c r="F35" s="6" t="s">
        <v>1092</v>
      </c>
      <c r="G35" s="6" t="s">
        <v>1093</v>
      </c>
      <c r="H35" s="6" t="s">
        <v>980</v>
      </c>
      <c r="I35" s="6" t="s">
        <v>171</v>
      </c>
    </row>
    <row r="36" spans="1:9" ht="38" customHeight="1">
      <c r="A36" s="4" t="s">
        <v>172</v>
      </c>
      <c r="B36" s="4" t="s">
        <v>173</v>
      </c>
      <c r="C36" s="4" t="s">
        <v>1094</v>
      </c>
      <c r="D36" s="4" t="s">
        <v>1095</v>
      </c>
      <c r="E36" s="4" t="s">
        <v>1096</v>
      </c>
      <c r="F36" s="4" t="s">
        <v>461</v>
      </c>
      <c r="G36" s="4" t="s">
        <v>1097</v>
      </c>
      <c r="H36" s="4" t="s">
        <v>974</v>
      </c>
      <c r="I36" s="4" t="s">
        <v>174</v>
      </c>
    </row>
    <row r="37" spans="1:9" ht="38" customHeight="1">
      <c r="A37" s="6" t="s">
        <v>175</v>
      </c>
      <c r="B37" s="6" t="s">
        <v>176</v>
      </c>
      <c r="C37" s="6" t="s">
        <v>1098</v>
      </c>
      <c r="D37" s="6" t="s">
        <v>1033</v>
      </c>
      <c r="E37" s="6" t="s">
        <v>1099</v>
      </c>
      <c r="F37" s="6" t="s">
        <v>461</v>
      </c>
      <c r="G37" s="6" t="s">
        <v>1100</v>
      </c>
      <c r="H37" s="6" t="s">
        <v>974</v>
      </c>
      <c r="I37" s="6" t="s">
        <v>177</v>
      </c>
    </row>
    <row r="38" spans="1:9" ht="51" customHeight="1">
      <c r="A38" s="4" t="s">
        <v>178</v>
      </c>
      <c r="B38" s="4" t="s">
        <v>179</v>
      </c>
      <c r="C38" s="4" t="s">
        <v>1101</v>
      </c>
      <c r="D38" s="4" t="s">
        <v>1102</v>
      </c>
      <c r="E38" s="4" t="s">
        <v>1103</v>
      </c>
      <c r="F38" s="4" t="s">
        <v>1104</v>
      </c>
      <c r="G38" s="4" t="s">
        <v>1105</v>
      </c>
      <c r="H38" s="4" t="s">
        <v>963</v>
      </c>
      <c r="I38" s="4" t="s">
        <v>181</v>
      </c>
    </row>
    <row r="39" spans="1:9" ht="51" customHeight="1">
      <c r="A39" s="6" t="s">
        <v>182</v>
      </c>
      <c r="B39" s="6" t="s">
        <v>183</v>
      </c>
      <c r="C39" s="6" t="s">
        <v>1106</v>
      </c>
      <c r="D39" s="6" t="s">
        <v>1033</v>
      </c>
      <c r="E39" s="6" t="s">
        <v>1107</v>
      </c>
      <c r="F39" s="6" t="s">
        <v>461</v>
      </c>
      <c r="G39" s="6" t="s">
        <v>1108</v>
      </c>
      <c r="H39" s="6" t="s">
        <v>963</v>
      </c>
      <c r="I39" s="6" t="s">
        <v>185</v>
      </c>
    </row>
    <row r="40" spans="1:9" ht="51" customHeight="1">
      <c r="A40" s="4" t="s">
        <v>186</v>
      </c>
      <c r="B40" s="4" t="s">
        <v>187</v>
      </c>
      <c r="C40" s="4" t="s">
        <v>1109</v>
      </c>
      <c r="D40" s="4" t="s">
        <v>1033</v>
      </c>
      <c r="E40" s="4" t="s">
        <v>1110</v>
      </c>
      <c r="F40" s="4" t="s">
        <v>461</v>
      </c>
      <c r="G40" s="4" t="s">
        <v>1111</v>
      </c>
      <c r="H40" s="4" t="s">
        <v>963</v>
      </c>
      <c r="I40" s="4" t="s">
        <v>188</v>
      </c>
    </row>
    <row r="41" spans="1:9" ht="38" customHeight="1">
      <c r="A41" s="6" t="s">
        <v>189</v>
      </c>
      <c r="B41" s="6" t="s">
        <v>190</v>
      </c>
      <c r="C41" s="6" t="s">
        <v>1112</v>
      </c>
      <c r="D41" s="6" t="s">
        <v>1033</v>
      </c>
      <c r="E41" s="6" t="s">
        <v>1113</v>
      </c>
      <c r="F41" s="6" t="s">
        <v>461</v>
      </c>
      <c r="G41" s="6" t="s">
        <v>1114</v>
      </c>
      <c r="H41" s="6" t="s">
        <v>980</v>
      </c>
      <c r="I41" s="6" t="s">
        <v>192</v>
      </c>
    </row>
    <row r="42" spans="1:9" ht="51" customHeight="1">
      <c r="A42" s="4" t="s">
        <v>193</v>
      </c>
      <c r="B42" s="4" t="s">
        <v>194</v>
      </c>
      <c r="C42" s="4" t="s">
        <v>1115</v>
      </c>
      <c r="D42" s="4" t="s">
        <v>1033</v>
      </c>
      <c r="E42" s="4" t="s">
        <v>1116</v>
      </c>
      <c r="F42" s="4" t="s">
        <v>461</v>
      </c>
      <c r="G42" s="4" t="s">
        <v>1117</v>
      </c>
      <c r="H42" s="4" t="s">
        <v>963</v>
      </c>
      <c r="I42" s="4" t="s">
        <v>195</v>
      </c>
    </row>
    <row r="43" spans="1:9" ht="51" customHeight="1">
      <c r="A43" s="6" t="s">
        <v>196</v>
      </c>
      <c r="B43" s="6" t="s">
        <v>197</v>
      </c>
      <c r="C43" s="6" t="s">
        <v>1118</v>
      </c>
      <c r="D43" s="6" t="s">
        <v>1033</v>
      </c>
      <c r="E43" s="6" t="s">
        <v>1119</v>
      </c>
      <c r="F43" s="6" t="s">
        <v>461</v>
      </c>
      <c r="G43" s="6" t="s">
        <v>1120</v>
      </c>
      <c r="H43" s="6" t="s">
        <v>963</v>
      </c>
      <c r="I43" s="6" t="s">
        <v>199</v>
      </c>
    </row>
    <row r="44" spans="1:9" ht="38" customHeight="1">
      <c r="A44" s="4" t="s">
        <v>200</v>
      </c>
      <c r="B44" s="4" t="s">
        <v>201</v>
      </c>
      <c r="C44" s="4" t="s">
        <v>1121</v>
      </c>
      <c r="D44" s="4" t="s">
        <v>1033</v>
      </c>
      <c r="E44" s="4" t="s">
        <v>1122</v>
      </c>
      <c r="F44" s="4" t="s">
        <v>461</v>
      </c>
      <c r="G44" s="4" t="s">
        <v>1123</v>
      </c>
      <c r="H44" s="4" t="s">
        <v>980</v>
      </c>
      <c r="I44" s="4" t="s">
        <v>202</v>
      </c>
    </row>
    <row r="45" spans="1:9" ht="51" customHeight="1">
      <c r="A45" s="6" t="s">
        <v>203</v>
      </c>
      <c r="B45" s="6" t="s">
        <v>204</v>
      </c>
      <c r="C45" s="6" t="s">
        <v>1124</v>
      </c>
      <c r="D45" s="6" t="s">
        <v>1125</v>
      </c>
      <c r="E45" s="6" t="s">
        <v>1126</v>
      </c>
      <c r="F45" s="6" t="s">
        <v>461</v>
      </c>
      <c r="G45" s="6" t="s">
        <v>1127</v>
      </c>
      <c r="H45" s="6" t="s">
        <v>963</v>
      </c>
      <c r="I45" s="6" t="s">
        <v>205</v>
      </c>
    </row>
    <row r="46" spans="1:9" ht="38" customHeight="1">
      <c r="A46" s="4" t="s">
        <v>206</v>
      </c>
      <c r="B46" s="4" t="s">
        <v>207</v>
      </c>
      <c r="C46" s="4" t="s">
        <v>1128</v>
      </c>
      <c r="D46" s="4" t="s">
        <v>1033</v>
      </c>
      <c r="E46" s="4" t="s">
        <v>1129</v>
      </c>
      <c r="F46" s="4" t="s">
        <v>461</v>
      </c>
      <c r="G46" s="4" t="s">
        <v>1130</v>
      </c>
      <c r="H46" s="4" t="s">
        <v>980</v>
      </c>
      <c r="I46" s="4" t="s">
        <v>208</v>
      </c>
    </row>
    <row r="47" spans="1:9" ht="38" customHeight="1">
      <c r="A47" s="6" t="s">
        <v>209</v>
      </c>
      <c r="B47" s="6" t="s">
        <v>210</v>
      </c>
      <c r="C47" s="6" t="s">
        <v>1131</v>
      </c>
      <c r="D47" s="6" t="s">
        <v>1033</v>
      </c>
      <c r="E47" s="6" t="s">
        <v>1132</v>
      </c>
      <c r="F47" s="6" t="s">
        <v>1133</v>
      </c>
      <c r="G47" s="6" t="s">
        <v>1134</v>
      </c>
      <c r="H47" s="6" t="s">
        <v>980</v>
      </c>
      <c r="I47" s="6" t="s">
        <v>211</v>
      </c>
    </row>
    <row r="48" spans="1:9" ht="38" customHeight="1">
      <c r="A48" s="4" t="s">
        <v>212</v>
      </c>
      <c r="B48" s="4" t="s">
        <v>213</v>
      </c>
      <c r="C48" s="4" t="s">
        <v>1135</v>
      </c>
      <c r="D48" s="4" t="s">
        <v>1136</v>
      </c>
      <c r="E48" s="4" t="s">
        <v>1137</v>
      </c>
      <c r="F48" s="4" t="s">
        <v>1138</v>
      </c>
      <c r="G48" s="4" t="s">
        <v>1139</v>
      </c>
      <c r="H48" s="4" t="s">
        <v>974</v>
      </c>
      <c r="I48" s="4" t="s">
        <v>214</v>
      </c>
    </row>
    <row r="49" spans="1:9" ht="38" customHeight="1">
      <c r="A49" s="6" t="s">
        <v>215</v>
      </c>
      <c r="B49" s="6" t="s">
        <v>216</v>
      </c>
      <c r="C49" s="6" t="s">
        <v>1140</v>
      </c>
      <c r="D49" s="6" t="s">
        <v>1141</v>
      </c>
      <c r="E49" s="6" t="s">
        <v>1142</v>
      </c>
      <c r="F49" s="6" t="s">
        <v>1143</v>
      </c>
      <c r="G49" s="6" t="s">
        <v>1144</v>
      </c>
      <c r="H49" s="6" t="s">
        <v>1145</v>
      </c>
      <c r="I49" s="6" t="s">
        <v>220</v>
      </c>
    </row>
    <row r="50" spans="1:9" ht="38" customHeight="1">
      <c r="A50" s="4" t="s">
        <v>221</v>
      </c>
      <c r="B50" s="4" t="s">
        <v>222</v>
      </c>
      <c r="C50" s="4" t="s">
        <v>1146</v>
      </c>
      <c r="D50" s="4" t="s">
        <v>1033</v>
      </c>
      <c r="E50" s="4" t="s">
        <v>1147</v>
      </c>
      <c r="F50" s="4" t="s">
        <v>1148</v>
      </c>
      <c r="G50" s="4" t="s">
        <v>1149</v>
      </c>
      <c r="H50" s="4" t="s">
        <v>1145</v>
      </c>
      <c r="I50" s="4" t="s">
        <v>224</v>
      </c>
    </row>
    <row r="51" spans="1:9" ht="51" customHeight="1">
      <c r="A51" s="6" t="s">
        <v>225</v>
      </c>
      <c r="B51" s="6" t="s">
        <v>226</v>
      </c>
      <c r="C51" s="6" t="s">
        <v>1150</v>
      </c>
      <c r="D51" s="6" t="s">
        <v>1033</v>
      </c>
      <c r="E51" s="6" t="s">
        <v>1151</v>
      </c>
      <c r="F51" s="6" t="s">
        <v>461</v>
      </c>
      <c r="G51" s="6" t="s">
        <v>1152</v>
      </c>
      <c r="H51" s="6" t="s">
        <v>963</v>
      </c>
      <c r="I51" s="6" t="s">
        <v>229</v>
      </c>
    </row>
    <row r="52" spans="1:9" ht="38" customHeight="1">
      <c r="A52" s="4" t="s">
        <v>230</v>
      </c>
      <c r="B52" s="4" t="s">
        <v>231</v>
      </c>
      <c r="C52" s="4" t="s">
        <v>1153</v>
      </c>
      <c r="D52" s="4" t="s">
        <v>1033</v>
      </c>
      <c r="E52" s="4" t="s">
        <v>1154</v>
      </c>
      <c r="F52" s="4" t="s">
        <v>461</v>
      </c>
      <c r="G52" s="4" t="s">
        <v>1155</v>
      </c>
      <c r="H52" s="4" t="s">
        <v>980</v>
      </c>
      <c r="I52" s="4" t="s">
        <v>234</v>
      </c>
    </row>
    <row r="53" spans="1:9" ht="51" customHeight="1">
      <c r="A53" s="6" t="s">
        <v>235</v>
      </c>
      <c r="B53" s="6" t="s">
        <v>236</v>
      </c>
      <c r="C53" s="6" t="s">
        <v>1156</v>
      </c>
      <c r="D53" s="6" t="s">
        <v>1033</v>
      </c>
      <c r="E53" s="6" t="s">
        <v>1157</v>
      </c>
      <c r="F53" s="6" t="s">
        <v>461</v>
      </c>
      <c r="G53" s="6" t="s">
        <v>1158</v>
      </c>
      <c r="H53" s="6" t="s">
        <v>963</v>
      </c>
      <c r="I53" s="6" t="s">
        <v>238</v>
      </c>
    </row>
    <row r="54" spans="1:9" ht="38" customHeight="1">
      <c r="A54" s="4" t="s">
        <v>239</v>
      </c>
      <c r="B54" s="4" t="s">
        <v>240</v>
      </c>
      <c r="C54" s="4" t="s">
        <v>1159</v>
      </c>
      <c r="D54" s="4" t="s">
        <v>1033</v>
      </c>
      <c r="E54" s="4" t="s">
        <v>1160</v>
      </c>
      <c r="F54" s="4" t="s">
        <v>1161</v>
      </c>
      <c r="G54" s="4" t="s">
        <v>1162</v>
      </c>
      <c r="H54" s="4" t="s">
        <v>996</v>
      </c>
      <c r="I54" s="4" t="s">
        <v>243</v>
      </c>
    </row>
    <row r="55" spans="1:9" ht="38" customHeight="1">
      <c r="A55" s="6" t="s">
        <v>244</v>
      </c>
      <c r="B55" s="6" t="s">
        <v>245</v>
      </c>
      <c r="C55" s="6" t="s">
        <v>1163</v>
      </c>
      <c r="D55" s="6" t="s">
        <v>1033</v>
      </c>
      <c r="E55" s="6" t="s">
        <v>1164</v>
      </c>
      <c r="F55" s="6" t="s">
        <v>1165</v>
      </c>
      <c r="G55" s="6" t="s">
        <v>1166</v>
      </c>
      <c r="H55" s="6" t="s">
        <v>974</v>
      </c>
      <c r="I55" s="6" t="s">
        <v>247</v>
      </c>
    </row>
    <row r="56" spans="1:9" ht="51" customHeight="1">
      <c r="A56" s="4" t="s">
        <v>248</v>
      </c>
      <c r="B56" s="4" t="s">
        <v>249</v>
      </c>
      <c r="C56" s="4" t="s">
        <v>1167</v>
      </c>
      <c r="D56" s="4" t="s">
        <v>1168</v>
      </c>
      <c r="E56" s="4" t="s">
        <v>1169</v>
      </c>
      <c r="F56" s="4" t="s">
        <v>461</v>
      </c>
      <c r="G56" s="4" t="s">
        <v>1170</v>
      </c>
      <c r="H56" s="4" t="s">
        <v>1171</v>
      </c>
      <c r="I56" s="4" t="s">
        <v>251</v>
      </c>
    </row>
    <row r="57" spans="1:9" ht="38" customHeight="1">
      <c r="A57" s="6" t="s">
        <v>252</v>
      </c>
      <c r="B57" s="6" t="s">
        <v>253</v>
      </c>
      <c r="C57" s="6" t="s">
        <v>1172</v>
      </c>
      <c r="D57" s="6" t="s">
        <v>1033</v>
      </c>
      <c r="E57" s="6" t="s">
        <v>1173</v>
      </c>
      <c r="F57" s="6" t="s">
        <v>461</v>
      </c>
      <c r="G57" s="6" t="s">
        <v>1174</v>
      </c>
      <c r="H57" s="6" t="s">
        <v>980</v>
      </c>
      <c r="I57" s="6" t="s">
        <v>254</v>
      </c>
    </row>
    <row r="58" spans="1:9" ht="38" customHeight="1">
      <c r="A58" s="4" t="s">
        <v>255</v>
      </c>
      <c r="B58" s="4" t="s">
        <v>256</v>
      </c>
      <c r="C58" s="4" t="s">
        <v>1175</v>
      </c>
      <c r="D58" s="4" t="s">
        <v>1033</v>
      </c>
      <c r="E58" s="4" t="s">
        <v>1176</v>
      </c>
      <c r="F58" s="4" t="s">
        <v>1177</v>
      </c>
      <c r="G58" s="4" t="s">
        <v>1178</v>
      </c>
      <c r="H58" s="4" t="s">
        <v>980</v>
      </c>
      <c r="I58" s="4" t="s">
        <v>258</v>
      </c>
    </row>
    <row r="59" spans="1:9" ht="51" customHeight="1">
      <c r="A59" s="6" t="s">
        <v>259</v>
      </c>
      <c r="B59" s="6" t="s">
        <v>260</v>
      </c>
      <c r="C59" s="6" t="s">
        <v>1179</v>
      </c>
      <c r="D59" s="6" t="s">
        <v>1180</v>
      </c>
      <c r="E59" s="6" t="s">
        <v>1181</v>
      </c>
      <c r="F59" s="6" t="s">
        <v>1182</v>
      </c>
      <c r="G59" s="6" t="s">
        <v>1183</v>
      </c>
      <c r="H59" s="6" t="s">
        <v>974</v>
      </c>
      <c r="I59" s="6" t="s">
        <v>261</v>
      </c>
    </row>
    <row r="60" spans="1:9" ht="38" customHeight="1">
      <c r="A60" s="4" t="s">
        <v>262</v>
      </c>
      <c r="B60" s="4" t="s">
        <v>263</v>
      </c>
      <c r="C60" s="4" t="s">
        <v>461</v>
      </c>
      <c r="D60" s="4" t="s">
        <v>1184</v>
      </c>
      <c r="E60" s="4" t="s">
        <v>1185</v>
      </c>
      <c r="F60" s="4" t="s">
        <v>1186</v>
      </c>
      <c r="G60" s="4" t="s">
        <v>1187</v>
      </c>
      <c r="H60" s="4" t="s">
        <v>1188</v>
      </c>
      <c r="I60" s="4" t="s">
        <v>267</v>
      </c>
    </row>
    <row r="61" spans="1:9" ht="38" customHeight="1">
      <c r="A61" s="6" t="s">
        <v>268</v>
      </c>
      <c r="B61" s="6" t="s">
        <v>269</v>
      </c>
      <c r="C61" s="6" t="s">
        <v>461</v>
      </c>
      <c r="D61" s="6" t="s">
        <v>1184</v>
      </c>
      <c r="E61" s="6" t="s">
        <v>1185</v>
      </c>
      <c r="F61" s="6" t="s">
        <v>1186</v>
      </c>
      <c r="G61" s="6" t="s">
        <v>1187</v>
      </c>
      <c r="H61" s="6" t="s">
        <v>1188</v>
      </c>
      <c r="I61" s="6" t="s">
        <v>267</v>
      </c>
    </row>
    <row r="62" spans="1:9" ht="38" customHeight="1">
      <c r="A62" s="4" t="s">
        <v>270</v>
      </c>
      <c r="B62" s="4" t="s">
        <v>271</v>
      </c>
      <c r="C62" s="4" t="s">
        <v>461</v>
      </c>
      <c r="D62" s="4" t="s">
        <v>1184</v>
      </c>
      <c r="E62" s="4" t="s">
        <v>1185</v>
      </c>
      <c r="F62" s="4" t="s">
        <v>1186</v>
      </c>
      <c r="G62" s="4" t="s">
        <v>1187</v>
      </c>
      <c r="H62" s="4" t="s">
        <v>1188</v>
      </c>
      <c r="I62" s="4" t="s">
        <v>267</v>
      </c>
    </row>
    <row r="63" spans="1:9" ht="38" customHeight="1">
      <c r="A63" s="6" t="s">
        <v>272</v>
      </c>
      <c r="B63" s="6" t="s">
        <v>273</v>
      </c>
      <c r="C63" s="6" t="s">
        <v>461</v>
      </c>
      <c r="D63" s="6" t="s">
        <v>1184</v>
      </c>
      <c r="E63" s="6" t="s">
        <v>1185</v>
      </c>
      <c r="F63" s="6" t="s">
        <v>1186</v>
      </c>
      <c r="G63" s="6" t="s">
        <v>1187</v>
      </c>
      <c r="H63" s="6" t="s">
        <v>1188</v>
      </c>
      <c r="I63" s="6" t="s">
        <v>267</v>
      </c>
    </row>
    <row r="64" spans="1:9" ht="38" customHeight="1">
      <c r="A64" s="4" t="s">
        <v>274</v>
      </c>
      <c r="B64" s="4" t="s">
        <v>275</v>
      </c>
      <c r="C64" s="4" t="s">
        <v>461</v>
      </c>
      <c r="D64" s="4" t="s">
        <v>1184</v>
      </c>
      <c r="E64" s="4" t="s">
        <v>1185</v>
      </c>
      <c r="F64" s="4" t="s">
        <v>1186</v>
      </c>
      <c r="G64" s="4" t="s">
        <v>1187</v>
      </c>
      <c r="H64" s="4" t="s">
        <v>1188</v>
      </c>
      <c r="I64" s="4" t="s">
        <v>267</v>
      </c>
    </row>
    <row r="65" spans="1:9" ht="38" customHeight="1">
      <c r="A65" s="6" t="s">
        <v>276</v>
      </c>
      <c r="B65" s="6" t="s">
        <v>277</v>
      </c>
      <c r="C65" s="6" t="s">
        <v>461</v>
      </c>
      <c r="D65" s="6" t="s">
        <v>1184</v>
      </c>
      <c r="E65" s="6" t="s">
        <v>1185</v>
      </c>
      <c r="F65" s="6" t="s">
        <v>1186</v>
      </c>
      <c r="G65" s="6" t="s">
        <v>1187</v>
      </c>
      <c r="H65" s="6" t="s">
        <v>1188</v>
      </c>
      <c r="I65" s="6" t="s">
        <v>267</v>
      </c>
    </row>
    <row r="66" spans="1:9" ht="38" customHeight="1">
      <c r="A66" s="4" t="s">
        <v>278</v>
      </c>
      <c r="B66" s="4" t="s">
        <v>279</v>
      </c>
      <c r="C66" s="4" t="s">
        <v>461</v>
      </c>
      <c r="D66" s="4" t="s">
        <v>1184</v>
      </c>
      <c r="E66" s="4" t="s">
        <v>1185</v>
      </c>
      <c r="F66" s="4" t="s">
        <v>1186</v>
      </c>
      <c r="G66" s="4" t="s">
        <v>1187</v>
      </c>
      <c r="H66" s="4" t="s">
        <v>1188</v>
      </c>
      <c r="I66" s="4" t="s">
        <v>267</v>
      </c>
    </row>
    <row r="67" spans="1:9" ht="38" customHeight="1">
      <c r="A67" s="6" t="s">
        <v>280</v>
      </c>
      <c r="B67" s="6" t="s">
        <v>281</v>
      </c>
      <c r="C67" s="6" t="s">
        <v>461</v>
      </c>
      <c r="D67" s="6" t="s">
        <v>1184</v>
      </c>
      <c r="E67" s="6" t="s">
        <v>1185</v>
      </c>
      <c r="F67" s="6" t="s">
        <v>1186</v>
      </c>
      <c r="G67" s="6" t="s">
        <v>1187</v>
      </c>
      <c r="H67" s="6" t="s">
        <v>1188</v>
      </c>
      <c r="I67" s="6" t="s">
        <v>267</v>
      </c>
    </row>
    <row r="68" spans="1:9" ht="38" customHeight="1">
      <c r="A68" s="4" t="s">
        <v>282</v>
      </c>
      <c r="B68" s="4" t="s">
        <v>283</v>
      </c>
      <c r="C68" s="4" t="s">
        <v>461</v>
      </c>
      <c r="D68" s="4" t="s">
        <v>1184</v>
      </c>
      <c r="E68" s="4" t="s">
        <v>1185</v>
      </c>
      <c r="F68" s="4" t="s">
        <v>1186</v>
      </c>
      <c r="G68" s="4" t="s">
        <v>1187</v>
      </c>
      <c r="H68" s="4" t="s">
        <v>1188</v>
      </c>
      <c r="I68" s="4" t="s">
        <v>267</v>
      </c>
    </row>
    <row r="69" spans="1:9" ht="38" customHeight="1">
      <c r="A69" s="6" t="s">
        <v>284</v>
      </c>
      <c r="B69" s="6" t="s">
        <v>285</v>
      </c>
      <c r="C69" s="6" t="s">
        <v>461</v>
      </c>
      <c r="D69" s="6" t="s">
        <v>1184</v>
      </c>
      <c r="E69" s="6" t="s">
        <v>1185</v>
      </c>
      <c r="F69" s="6" t="s">
        <v>1186</v>
      </c>
      <c r="G69" s="6" t="s">
        <v>1187</v>
      </c>
      <c r="H69" s="6" t="s">
        <v>1188</v>
      </c>
      <c r="I69" s="6" t="s">
        <v>267</v>
      </c>
    </row>
    <row r="70" spans="1:9" ht="38" customHeight="1">
      <c r="A70" s="4" t="s">
        <v>286</v>
      </c>
      <c r="B70" s="4" t="s">
        <v>287</v>
      </c>
      <c r="C70" s="4" t="s">
        <v>461</v>
      </c>
      <c r="D70" s="4" t="s">
        <v>1184</v>
      </c>
      <c r="E70" s="4" t="s">
        <v>1185</v>
      </c>
      <c r="F70" s="4" t="s">
        <v>1186</v>
      </c>
      <c r="G70" s="4" t="s">
        <v>1187</v>
      </c>
      <c r="H70" s="4" t="s">
        <v>1188</v>
      </c>
      <c r="I70" s="4" t="s">
        <v>267</v>
      </c>
    </row>
    <row r="71" spans="1:9" ht="38" customHeight="1">
      <c r="A71" s="6" t="s">
        <v>288</v>
      </c>
      <c r="B71" s="6" t="s">
        <v>289</v>
      </c>
      <c r="C71" s="6" t="s">
        <v>461</v>
      </c>
      <c r="D71" s="6" t="s">
        <v>1184</v>
      </c>
      <c r="E71" s="6" t="s">
        <v>1185</v>
      </c>
      <c r="F71" s="6" t="s">
        <v>1186</v>
      </c>
      <c r="G71" s="6" t="s">
        <v>1187</v>
      </c>
      <c r="H71" s="6" t="s">
        <v>1188</v>
      </c>
      <c r="I71" s="6" t="s">
        <v>267</v>
      </c>
    </row>
    <row r="72" spans="1:9" ht="38" customHeight="1">
      <c r="A72" s="4" t="s">
        <v>290</v>
      </c>
      <c r="B72" s="4" t="s">
        <v>291</v>
      </c>
      <c r="C72" s="4" t="s">
        <v>461</v>
      </c>
      <c r="D72" s="4" t="s">
        <v>1184</v>
      </c>
      <c r="E72" s="4" t="s">
        <v>1185</v>
      </c>
      <c r="F72" s="4" t="s">
        <v>1186</v>
      </c>
      <c r="G72" s="4" t="s">
        <v>1187</v>
      </c>
      <c r="H72" s="4" t="s">
        <v>1188</v>
      </c>
      <c r="I72" s="4" t="s">
        <v>267</v>
      </c>
    </row>
    <row r="73" spans="1:9" ht="38" customHeight="1">
      <c r="A73" s="6" t="s">
        <v>292</v>
      </c>
      <c r="B73" s="6" t="s">
        <v>293</v>
      </c>
      <c r="C73" s="6" t="s">
        <v>461</v>
      </c>
      <c r="D73" s="6" t="s">
        <v>1184</v>
      </c>
      <c r="E73" s="6" t="s">
        <v>1185</v>
      </c>
      <c r="F73" s="6" t="s">
        <v>1186</v>
      </c>
      <c r="G73" s="6" t="s">
        <v>1187</v>
      </c>
      <c r="H73" s="6" t="s">
        <v>1188</v>
      </c>
      <c r="I73" s="6" t="s">
        <v>267</v>
      </c>
    </row>
    <row r="74" spans="1:9" ht="38" customHeight="1">
      <c r="A74" s="4" t="s">
        <v>294</v>
      </c>
      <c r="B74" s="4" t="s">
        <v>295</v>
      </c>
      <c r="C74" s="4" t="s">
        <v>461</v>
      </c>
      <c r="D74" s="4" t="s">
        <v>1184</v>
      </c>
      <c r="E74" s="4" t="s">
        <v>1185</v>
      </c>
      <c r="F74" s="4" t="s">
        <v>1186</v>
      </c>
      <c r="G74" s="4" t="s">
        <v>1187</v>
      </c>
      <c r="H74" s="4" t="s">
        <v>1188</v>
      </c>
      <c r="I74" s="4" t="s">
        <v>267</v>
      </c>
    </row>
    <row r="75" spans="1:9" ht="38" customHeight="1">
      <c r="A75" s="6" t="s">
        <v>296</v>
      </c>
      <c r="B75" s="6" t="s">
        <v>297</v>
      </c>
      <c r="C75" s="6" t="s">
        <v>461</v>
      </c>
      <c r="D75" s="6" t="s">
        <v>1184</v>
      </c>
      <c r="E75" s="6" t="s">
        <v>1185</v>
      </c>
      <c r="F75" s="6" t="s">
        <v>1186</v>
      </c>
      <c r="G75" s="6" t="s">
        <v>1187</v>
      </c>
      <c r="H75" s="6" t="s">
        <v>1188</v>
      </c>
      <c r="I75" s="6" t="s">
        <v>267</v>
      </c>
    </row>
    <row r="76" spans="1:9" ht="38" customHeight="1">
      <c r="A76" s="4" t="s">
        <v>298</v>
      </c>
      <c r="B76" s="4" t="s">
        <v>299</v>
      </c>
      <c r="C76" s="4" t="s">
        <v>461</v>
      </c>
      <c r="D76" s="4" t="s">
        <v>1184</v>
      </c>
      <c r="E76" s="4" t="s">
        <v>1185</v>
      </c>
      <c r="F76" s="4" t="s">
        <v>1186</v>
      </c>
      <c r="G76" s="4" t="s">
        <v>1187</v>
      </c>
      <c r="H76" s="4" t="s">
        <v>1188</v>
      </c>
      <c r="I76" s="4" t="s">
        <v>267</v>
      </c>
    </row>
    <row r="77" spans="1:9" ht="38" customHeight="1">
      <c r="A77" s="6" t="s">
        <v>300</v>
      </c>
      <c r="B77" s="6" t="s">
        <v>301</v>
      </c>
      <c r="C77" s="6" t="s">
        <v>461</v>
      </c>
      <c r="D77" s="6" t="s">
        <v>1184</v>
      </c>
      <c r="E77" s="6" t="s">
        <v>1185</v>
      </c>
      <c r="F77" s="6" t="s">
        <v>1186</v>
      </c>
      <c r="G77" s="6" t="s">
        <v>1187</v>
      </c>
      <c r="H77" s="6" t="s">
        <v>1188</v>
      </c>
      <c r="I77" s="6" t="s">
        <v>267</v>
      </c>
    </row>
    <row r="78" spans="1:9" ht="38" customHeight="1">
      <c r="A78" s="4" t="s">
        <v>302</v>
      </c>
      <c r="B78" s="4" t="s">
        <v>303</v>
      </c>
      <c r="C78" s="4" t="s">
        <v>461</v>
      </c>
      <c r="D78" s="4" t="s">
        <v>1184</v>
      </c>
      <c r="E78" s="4" t="s">
        <v>1185</v>
      </c>
      <c r="F78" s="4" t="s">
        <v>1186</v>
      </c>
      <c r="G78" s="4" t="s">
        <v>1187</v>
      </c>
      <c r="H78" s="4" t="s">
        <v>1188</v>
      </c>
      <c r="I78" s="4" t="s">
        <v>267</v>
      </c>
    </row>
    <row r="79" spans="1:9" ht="38" customHeight="1">
      <c r="A79" s="6" t="s">
        <v>304</v>
      </c>
      <c r="B79" s="6" t="s">
        <v>305</v>
      </c>
      <c r="C79" s="6" t="s">
        <v>461</v>
      </c>
      <c r="D79" s="6" t="s">
        <v>1184</v>
      </c>
      <c r="E79" s="6" t="s">
        <v>1185</v>
      </c>
      <c r="F79" s="6" t="s">
        <v>1186</v>
      </c>
      <c r="G79" s="6" t="s">
        <v>1187</v>
      </c>
      <c r="H79" s="6" t="s">
        <v>1188</v>
      </c>
      <c r="I79" s="6" t="s">
        <v>267</v>
      </c>
    </row>
    <row r="80" spans="1:9" ht="38" customHeight="1">
      <c r="A80" s="4" t="s">
        <v>306</v>
      </c>
      <c r="B80" s="4" t="s">
        <v>307</v>
      </c>
      <c r="C80" s="4" t="s">
        <v>461</v>
      </c>
      <c r="D80" s="4" t="s">
        <v>1184</v>
      </c>
      <c r="E80" s="4" t="s">
        <v>1185</v>
      </c>
      <c r="F80" s="4" t="s">
        <v>1186</v>
      </c>
      <c r="G80" s="4" t="s">
        <v>1187</v>
      </c>
      <c r="H80" s="4" t="s">
        <v>1188</v>
      </c>
      <c r="I80" s="4" t="s">
        <v>267</v>
      </c>
    </row>
    <row r="81" spans="1:9" ht="38" customHeight="1">
      <c r="A81" s="6" t="s">
        <v>308</v>
      </c>
      <c r="B81" s="6" t="s">
        <v>309</v>
      </c>
      <c r="C81" s="6" t="s">
        <v>461</v>
      </c>
      <c r="D81" s="6" t="s">
        <v>1184</v>
      </c>
      <c r="E81" s="6" t="s">
        <v>1185</v>
      </c>
      <c r="F81" s="6" t="s">
        <v>1186</v>
      </c>
      <c r="G81" s="6" t="s">
        <v>1187</v>
      </c>
      <c r="H81" s="6" t="s">
        <v>1188</v>
      </c>
      <c r="I81" s="6" t="s">
        <v>267</v>
      </c>
    </row>
    <row r="82" spans="1:9" ht="38" customHeight="1">
      <c r="A82" s="4" t="s">
        <v>310</v>
      </c>
      <c r="B82" s="4" t="s">
        <v>311</v>
      </c>
      <c r="C82" s="4" t="s">
        <v>461</v>
      </c>
      <c r="D82" s="4" t="s">
        <v>1184</v>
      </c>
      <c r="E82" s="4" t="s">
        <v>1185</v>
      </c>
      <c r="F82" s="4" t="s">
        <v>1186</v>
      </c>
      <c r="G82" s="4" t="s">
        <v>1187</v>
      </c>
      <c r="H82" s="4" t="s">
        <v>1188</v>
      </c>
      <c r="I82" s="4" t="s">
        <v>267</v>
      </c>
    </row>
    <row r="83" spans="1:9" ht="38" customHeight="1">
      <c r="A83" s="6" t="s">
        <v>312</v>
      </c>
      <c r="B83" s="6" t="s">
        <v>313</v>
      </c>
      <c r="C83" s="6" t="s">
        <v>461</v>
      </c>
      <c r="D83" s="6" t="s">
        <v>1184</v>
      </c>
      <c r="E83" s="6" t="s">
        <v>1185</v>
      </c>
      <c r="F83" s="6" t="s">
        <v>1186</v>
      </c>
      <c r="G83" s="6" t="s">
        <v>1187</v>
      </c>
      <c r="H83" s="6" t="s">
        <v>1188</v>
      </c>
      <c r="I83" s="6" t="s">
        <v>267</v>
      </c>
    </row>
    <row r="84" spans="1:9" ht="38" customHeight="1">
      <c r="A84" s="4" t="s">
        <v>314</v>
      </c>
      <c r="B84" s="4" t="s">
        <v>315</v>
      </c>
      <c r="C84" s="4" t="s">
        <v>461</v>
      </c>
      <c r="D84" s="4" t="s">
        <v>1184</v>
      </c>
      <c r="E84" s="4" t="s">
        <v>1185</v>
      </c>
      <c r="F84" s="4" t="s">
        <v>1186</v>
      </c>
      <c r="G84" s="4" t="s">
        <v>1187</v>
      </c>
      <c r="H84" s="4" t="s">
        <v>1188</v>
      </c>
      <c r="I84" s="4" t="s">
        <v>267</v>
      </c>
    </row>
    <row r="85" spans="1:9" ht="38" customHeight="1">
      <c r="A85" s="6" t="s">
        <v>316</v>
      </c>
      <c r="B85" s="6" t="s">
        <v>317</v>
      </c>
      <c r="C85" s="6" t="s">
        <v>461</v>
      </c>
      <c r="D85" s="6" t="s">
        <v>1184</v>
      </c>
      <c r="E85" s="6" t="s">
        <v>1185</v>
      </c>
      <c r="F85" s="6" t="s">
        <v>1186</v>
      </c>
      <c r="G85" s="6" t="s">
        <v>1187</v>
      </c>
      <c r="H85" s="6" t="s">
        <v>1188</v>
      </c>
      <c r="I85" s="6" t="s">
        <v>267</v>
      </c>
    </row>
    <row r="86" spans="1:9" ht="38" customHeight="1">
      <c r="A86" s="4" t="s">
        <v>318</v>
      </c>
      <c r="B86" s="4" t="s">
        <v>319</v>
      </c>
      <c r="C86" s="4" t="s">
        <v>461</v>
      </c>
      <c r="D86" s="4" t="s">
        <v>1184</v>
      </c>
      <c r="E86" s="4" t="s">
        <v>1185</v>
      </c>
      <c r="F86" s="4" t="s">
        <v>1186</v>
      </c>
      <c r="G86" s="4" t="s">
        <v>1187</v>
      </c>
      <c r="H86" s="4" t="s">
        <v>1188</v>
      </c>
      <c r="I86" s="4" t="s">
        <v>267</v>
      </c>
    </row>
    <row r="87" spans="1:9" ht="38" customHeight="1">
      <c r="A87" s="6" t="s">
        <v>320</v>
      </c>
      <c r="B87" s="6" t="s">
        <v>321</v>
      </c>
      <c r="C87" s="6" t="s">
        <v>461</v>
      </c>
      <c r="D87" s="6" t="s">
        <v>1184</v>
      </c>
      <c r="E87" s="6" t="s">
        <v>1185</v>
      </c>
      <c r="F87" s="6" t="s">
        <v>1186</v>
      </c>
      <c r="G87" s="6" t="s">
        <v>1187</v>
      </c>
      <c r="H87" s="6" t="s">
        <v>1188</v>
      </c>
      <c r="I87" s="6" t="s">
        <v>267</v>
      </c>
    </row>
    <row r="88" spans="1:9" ht="38" customHeight="1">
      <c r="A88" s="4" t="s">
        <v>322</v>
      </c>
      <c r="B88" s="4" t="s">
        <v>323</v>
      </c>
      <c r="C88" s="4" t="s">
        <v>461</v>
      </c>
      <c r="D88" s="4" t="s">
        <v>1184</v>
      </c>
      <c r="E88" s="4" t="s">
        <v>1185</v>
      </c>
      <c r="F88" s="4" t="s">
        <v>1186</v>
      </c>
      <c r="G88" s="4" t="s">
        <v>1187</v>
      </c>
      <c r="H88" s="4" t="s">
        <v>1188</v>
      </c>
      <c r="I88" s="4" t="s">
        <v>267</v>
      </c>
    </row>
    <row r="89" spans="1:9" ht="38" customHeight="1">
      <c r="A89" s="6" t="s">
        <v>324</v>
      </c>
      <c r="B89" s="6" t="s">
        <v>325</v>
      </c>
      <c r="C89" s="6" t="s">
        <v>461</v>
      </c>
      <c r="D89" s="6" t="s">
        <v>1184</v>
      </c>
      <c r="E89" s="6" t="s">
        <v>1185</v>
      </c>
      <c r="F89" s="6" t="s">
        <v>1186</v>
      </c>
      <c r="G89" s="6" t="s">
        <v>1187</v>
      </c>
      <c r="H89" s="6" t="s">
        <v>1188</v>
      </c>
      <c r="I89" s="6" t="s">
        <v>267</v>
      </c>
    </row>
    <row r="90" spans="1:9" ht="38" customHeight="1">
      <c r="A90" s="4" t="s">
        <v>326</v>
      </c>
      <c r="B90" s="4" t="s">
        <v>327</v>
      </c>
      <c r="C90" s="4" t="s">
        <v>461</v>
      </c>
      <c r="D90" s="4" t="s">
        <v>1184</v>
      </c>
      <c r="E90" s="4" t="s">
        <v>1185</v>
      </c>
      <c r="F90" s="4" t="s">
        <v>1186</v>
      </c>
      <c r="G90" s="4" t="s">
        <v>1187</v>
      </c>
      <c r="H90" s="4" t="s">
        <v>1188</v>
      </c>
      <c r="I90" s="4" t="s">
        <v>267</v>
      </c>
    </row>
    <row r="91" spans="1:9" ht="38" customHeight="1">
      <c r="A91" s="6" t="s">
        <v>328</v>
      </c>
      <c r="B91" s="6" t="s">
        <v>329</v>
      </c>
      <c r="C91" s="6" t="s">
        <v>461</v>
      </c>
      <c r="D91" s="6" t="s">
        <v>1184</v>
      </c>
      <c r="E91" s="6" t="s">
        <v>1185</v>
      </c>
      <c r="F91" s="6" t="s">
        <v>1186</v>
      </c>
      <c r="G91" s="6" t="s">
        <v>1187</v>
      </c>
      <c r="H91" s="6" t="s">
        <v>1188</v>
      </c>
      <c r="I91" s="6" t="s">
        <v>267</v>
      </c>
    </row>
    <row r="92" spans="1:9" ht="38" customHeight="1">
      <c r="A92" s="4" t="s">
        <v>330</v>
      </c>
      <c r="B92" s="4" t="s">
        <v>331</v>
      </c>
      <c r="C92" s="4" t="s">
        <v>461</v>
      </c>
      <c r="D92" s="4" t="s">
        <v>1184</v>
      </c>
      <c r="E92" s="4" t="s">
        <v>1185</v>
      </c>
      <c r="F92" s="4" t="s">
        <v>1186</v>
      </c>
      <c r="G92" s="4" t="s">
        <v>1187</v>
      </c>
      <c r="H92" s="4" t="s">
        <v>1188</v>
      </c>
      <c r="I92" s="4" t="s">
        <v>267</v>
      </c>
    </row>
    <row r="93" spans="1:9" ht="38" customHeight="1">
      <c r="A93" s="6" t="s">
        <v>332</v>
      </c>
      <c r="B93" s="6" t="s">
        <v>333</v>
      </c>
      <c r="C93" s="6" t="s">
        <v>461</v>
      </c>
      <c r="D93" s="6" t="s">
        <v>1184</v>
      </c>
      <c r="E93" s="6" t="s">
        <v>1185</v>
      </c>
      <c r="F93" s="6" t="s">
        <v>1186</v>
      </c>
      <c r="G93" s="6" t="s">
        <v>1187</v>
      </c>
      <c r="H93" s="6" t="s">
        <v>1188</v>
      </c>
      <c r="I93" s="6" t="s">
        <v>267</v>
      </c>
    </row>
    <row r="94" spans="1:9" ht="38" customHeight="1">
      <c r="A94" s="4" t="s">
        <v>334</v>
      </c>
      <c r="B94" s="4" t="s">
        <v>335</v>
      </c>
      <c r="C94" s="4" t="s">
        <v>461</v>
      </c>
      <c r="D94" s="4" t="s">
        <v>1184</v>
      </c>
      <c r="E94" s="4" t="s">
        <v>1185</v>
      </c>
      <c r="F94" s="4" t="s">
        <v>1186</v>
      </c>
      <c r="G94" s="4" t="s">
        <v>1187</v>
      </c>
      <c r="H94" s="4" t="s">
        <v>1188</v>
      </c>
      <c r="I94" s="4" t="s">
        <v>267</v>
      </c>
    </row>
    <row r="95" spans="1:9" ht="38" customHeight="1">
      <c r="A95" s="6" t="s">
        <v>336</v>
      </c>
      <c r="B95" s="6" t="s">
        <v>337</v>
      </c>
      <c r="C95" s="6" t="s">
        <v>461</v>
      </c>
      <c r="D95" s="6" t="s">
        <v>1184</v>
      </c>
      <c r="E95" s="6" t="s">
        <v>1185</v>
      </c>
      <c r="F95" s="6" t="s">
        <v>1186</v>
      </c>
      <c r="G95" s="6" t="s">
        <v>1187</v>
      </c>
      <c r="H95" s="6" t="s">
        <v>1188</v>
      </c>
      <c r="I95" s="6" t="s">
        <v>267</v>
      </c>
    </row>
    <row r="96" spans="1:9" ht="38" customHeight="1">
      <c r="A96" s="4" t="s">
        <v>338</v>
      </c>
      <c r="B96" s="4" t="s">
        <v>339</v>
      </c>
      <c r="C96" s="4" t="s">
        <v>461</v>
      </c>
      <c r="D96" s="4" t="s">
        <v>1184</v>
      </c>
      <c r="E96" s="4" t="s">
        <v>1185</v>
      </c>
      <c r="F96" s="4" t="s">
        <v>1186</v>
      </c>
      <c r="G96" s="4" t="s">
        <v>1187</v>
      </c>
      <c r="H96" s="4" t="s">
        <v>1188</v>
      </c>
      <c r="I96" s="4" t="s">
        <v>267</v>
      </c>
    </row>
    <row r="97" spans="1:9" ht="38" customHeight="1">
      <c r="A97" s="6" t="s">
        <v>340</v>
      </c>
      <c r="B97" s="6" t="s">
        <v>341</v>
      </c>
      <c r="C97" s="6" t="s">
        <v>461</v>
      </c>
      <c r="D97" s="6" t="s">
        <v>1184</v>
      </c>
      <c r="E97" s="6" t="s">
        <v>1185</v>
      </c>
      <c r="F97" s="6" t="s">
        <v>1186</v>
      </c>
      <c r="G97" s="6" t="s">
        <v>1187</v>
      </c>
      <c r="H97" s="6" t="s">
        <v>1188</v>
      </c>
      <c r="I97" s="6" t="s">
        <v>267</v>
      </c>
    </row>
    <row r="98" spans="1:9" ht="38" customHeight="1">
      <c r="A98" s="4" t="s">
        <v>342</v>
      </c>
      <c r="B98" s="4" t="s">
        <v>343</v>
      </c>
      <c r="C98" s="4" t="s">
        <v>461</v>
      </c>
      <c r="D98" s="4" t="s">
        <v>1184</v>
      </c>
      <c r="E98" s="4" t="s">
        <v>1185</v>
      </c>
      <c r="F98" s="4" t="s">
        <v>1186</v>
      </c>
      <c r="G98" s="4" t="s">
        <v>1187</v>
      </c>
      <c r="H98" s="4" t="s">
        <v>1188</v>
      </c>
      <c r="I98" s="4" t="s">
        <v>267</v>
      </c>
    </row>
    <row r="99" spans="1:9" ht="38" customHeight="1">
      <c r="A99" s="6" t="s">
        <v>344</v>
      </c>
      <c r="B99" s="6" t="s">
        <v>345</v>
      </c>
      <c r="C99" s="6" t="s">
        <v>461</v>
      </c>
      <c r="D99" s="6" t="s">
        <v>1184</v>
      </c>
      <c r="E99" s="6" t="s">
        <v>1185</v>
      </c>
      <c r="F99" s="6" t="s">
        <v>1186</v>
      </c>
      <c r="G99" s="6" t="s">
        <v>1187</v>
      </c>
      <c r="H99" s="6" t="s">
        <v>1188</v>
      </c>
      <c r="I99" s="6" t="s">
        <v>267</v>
      </c>
    </row>
    <row r="100" spans="1:9" ht="38" customHeight="1">
      <c r="A100" s="4" t="s">
        <v>346</v>
      </c>
      <c r="B100" s="4" t="s">
        <v>347</v>
      </c>
      <c r="C100" s="4" t="s">
        <v>461</v>
      </c>
      <c r="D100" s="4" t="s">
        <v>1184</v>
      </c>
      <c r="E100" s="4" t="s">
        <v>1185</v>
      </c>
      <c r="F100" s="4" t="s">
        <v>1186</v>
      </c>
      <c r="G100" s="4" t="s">
        <v>1187</v>
      </c>
      <c r="H100" s="4" t="s">
        <v>1188</v>
      </c>
      <c r="I100" s="4" t="s">
        <v>267</v>
      </c>
    </row>
    <row r="101" spans="1:9" ht="38" customHeight="1">
      <c r="A101" s="6" t="s">
        <v>348</v>
      </c>
      <c r="B101" s="6" t="s">
        <v>349</v>
      </c>
      <c r="C101" s="6" t="s">
        <v>461</v>
      </c>
      <c r="D101" s="6" t="s">
        <v>1184</v>
      </c>
      <c r="E101" s="6" t="s">
        <v>1185</v>
      </c>
      <c r="F101" s="6" t="s">
        <v>1186</v>
      </c>
      <c r="G101" s="6" t="s">
        <v>1187</v>
      </c>
      <c r="H101" s="6" t="s">
        <v>1188</v>
      </c>
      <c r="I101" s="6" t="s">
        <v>267</v>
      </c>
    </row>
    <row r="102" spans="1:9" ht="38" customHeight="1">
      <c r="A102" s="4" t="s">
        <v>350</v>
      </c>
      <c r="B102" s="4" t="s">
        <v>351</v>
      </c>
      <c r="C102" s="4" t="s">
        <v>461</v>
      </c>
      <c r="D102" s="4" t="s">
        <v>1184</v>
      </c>
      <c r="E102" s="4" t="s">
        <v>1185</v>
      </c>
      <c r="F102" s="4" t="s">
        <v>1186</v>
      </c>
      <c r="G102" s="4" t="s">
        <v>1187</v>
      </c>
      <c r="H102" s="4" t="s">
        <v>1188</v>
      </c>
      <c r="I102" s="4" t="s">
        <v>267</v>
      </c>
    </row>
    <row r="103" spans="1:9" ht="38" customHeight="1">
      <c r="A103" s="6" t="s">
        <v>352</v>
      </c>
      <c r="B103" s="6" t="s">
        <v>353</v>
      </c>
      <c r="C103" s="6" t="s">
        <v>461</v>
      </c>
      <c r="D103" s="6" t="s">
        <v>1184</v>
      </c>
      <c r="E103" s="6" t="s">
        <v>1185</v>
      </c>
      <c r="F103" s="6" t="s">
        <v>1186</v>
      </c>
      <c r="G103" s="6" t="s">
        <v>1187</v>
      </c>
      <c r="H103" s="6" t="s">
        <v>1188</v>
      </c>
      <c r="I103" s="6" t="s">
        <v>267</v>
      </c>
    </row>
    <row r="104" spans="1:9" ht="38" customHeight="1">
      <c r="A104" s="4" t="s">
        <v>356</v>
      </c>
      <c r="B104" s="4" t="s">
        <v>357</v>
      </c>
      <c r="C104" s="4" t="s">
        <v>461</v>
      </c>
      <c r="D104" s="4" t="s">
        <v>1184</v>
      </c>
      <c r="E104" s="4" t="s">
        <v>1185</v>
      </c>
      <c r="F104" s="4" t="s">
        <v>1186</v>
      </c>
      <c r="G104" s="4" t="s">
        <v>1187</v>
      </c>
      <c r="H104" s="4" t="s">
        <v>1188</v>
      </c>
      <c r="I104" s="4" t="s">
        <v>267</v>
      </c>
    </row>
    <row r="105" spans="1:9" ht="38" customHeight="1">
      <c r="A105" s="6" t="s">
        <v>358</v>
      </c>
      <c r="B105" s="6" t="s">
        <v>359</v>
      </c>
      <c r="C105" s="6" t="s">
        <v>461</v>
      </c>
      <c r="D105" s="6" t="s">
        <v>1184</v>
      </c>
      <c r="E105" s="6" t="s">
        <v>1185</v>
      </c>
      <c r="F105" s="6" t="s">
        <v>1186</v>
      </c>
      <c r="G105" s="6" t="s">
        <v>1187</v>
      </c>
      <c r="H105" s="6" t="s">
        <v>1188</v>
      </c>
      <c r="I105" s="6" t="s">
        <v>267</v>
      </c>
    </row>
    <row r="106" spans="1:9" ht="38" customHeight="1">
      <c r="A106" s="4" t="s">
        <v>360</v>
      </c>
      <c r="B106" s="4" t="s">
        <v>361</v>
      </c>
      <c r="C106" s="4" t="s">
        <v>461</v>
      </c>
      <c r="D106" s="4" t="s">
        <v>1184</v>
      </c>
      <c r="E106" s="4" t="s">
        <v>1185</v>
      </c>
      <c r="F106" s="4" t="s">
        <v>1186</v>
      </c>
      <c r="G106" s="4" t="s">
        <v>1187</v>
      </c>
      <c r="H106" s="4" t="s">
        <v>1188</v>
      </c>
      <c r="I106" s="4" t="s">
        <v>267</v>
      </c>
    </row>
    <row r="107" spans="1:9" ht="38" customHeight="1">
      <c r="A107" s="6" t="s">
        <v>362</v>
      </c>
      <c r="B107" s="6" t="s">
        <v>363</v>
      </c>
      <c r="C107" s="6" t="s">
        <v>461</v>
      </c>
      <c r="D107" s="6" t="s">
        <v>1184</v>
      </c>
      <c r="E107" s="6" t="s">
        <v>1185</v>
      </c>
      <c r="F107" s="6" t="s">
        <v>1186</v>
      </c>
      <c r="G107" s="6" t="s">
        <v>1187</v>
      </c>
      <c r="H107" s="6" t="s">
        <v>1188</v>
      </c>
      <c r="I107" s="6" t="s">
        <v>267</v>
      </c>
    </row>
    <row r="108" spans="1:9" ht="38" customHeight="1">
      <c r="A108" s="4" t="s">
        <v>365</v>
      </c>
      <c r="B108" s="4" t="s">
        <v>366</v>
      </c>
      <c r="C108" s="4" t="s">
        <v>461</v>
      </c>
      <c r="D108" s="4" t="s">
        <v>1184</v>
      </c>
      <c r="E108" s="4" t="s">
        <v>1185</v>
      </c>
      <c r="F108" s="4" t="s">
        <v>1186</v>
      </c>
      <c r="G108" s="4" t="s">
        <v>1187</v>
      </c>
      <c r="H108" s="4" t="s">
        <v>1188</v>
      </c>
      <c r="I108" s="4" t="s">
        <v>267</v>
      </c>
    </row>
    <row r="109" spans="1:9" ht="38" customHeight="1">
      <c r="A109" s="6" t="s">
        <v>367</v>
      </c>
      <c r="B109" s="6" t="s">
        <v>368</v>
      </c>
      <c r="C109" s="6" t="s">
        <v>461</v>
      </c>
      <c r="D109" s="6" t="s">
        <v>1184</v>
      </c>
      <c r="E109" s="6" t="s">
        <v>1185</v>
      </c>
      <c r="F109" s="6" t="s">
        <v>1186</v>
      </c>
      <c r="G109" s="6" t="s">
        <v>1187</v>
      </c>
      <c r="H109" s="6" t="s">
        <v>1188</v>
      </c>
      <c r="I109" s="6" t="s">
        <v>267</v>
      </c>
    </row>
    <row r="110" spans="1:9" ht="38" customHeight="1">
      <c r="A110" s="4" t="s">
        <v>369</v>
      </c>
      <c r="B110" s="4" t="s">
        <v>370</v>
      </c>
      <c r="C110" s="4" t="s">
        <v>461</v>
      </c>
      <c r="D110" s="4" t="s">
        <v>1184</v>
      </c>
      <c r="E110" s="4" t="s">
        <v>1185</v>
      </c>
      <c r="F110" s="4" t="s">
        <v>1186</v>
      </c>
      <c r="G110" s="4" t="s">
        <v>1187</v>
      </c>
      <c r="H110" s="4" t="s">
        <v>1188</v>
      </c>
      <c r="I110" s="4" t="s">
        <v>267</v>
      </c>
    </row>
    <row r="111" spans="1:9" ht="38" customHeight="1">
      <c r="A111" s="6" t="s">
        <v>371</v>
      </c>
      <c r="B111" s="6" t="s">
        <v>372</v>
      </c>
      <c r="C111" s="6" t="s">
        <v>461</v>
      </c>
      <c r="D111" s="6" t="s">
        <v>1184</v>
      </c>
      <c r="E111" s="6" t="s">
        <v>1185</v>
      </c>
      <c r="F111" s="6" t="s">
        <v>1186</v>
      </c>
      <c r="G111" s="6" t="s">
        <v>1187</v>
      </c>
      <c r="H111" s="6" t="s">
        <v>1188</v>
      </c>
      <c r="I111" s="6" t="s">
        <v>267</v>
      </c>
    </row>
    <row r="112" spans="1:9" ht="38" customHeight="1">
      <c r="A112" s="4" t="s">
        <v>373</v>
      </c>
      <c r="B112" s="4" t="s">
        <v>374</v>
      </c>
      <c r="C112" s="4" t="s">
        <v>461</v>
      </c>
      <c r="D112" s="4" t="s">
        <v>1184</v>
      </c>
      <c r="E112" s="4" t="s">
        <v>1185</v>
      </c>
      <c r="F112" s="4" t="s">
        <v>1186</v>
      </c>
      <c r="G112" s="4" t="s">
        <v>1187</v>
      </c>
      <c r="H112" s="4" t="s">
        <v>1188</v>
      </c>
      <c r="I112" s="4" t="s">
        <v>267</v>
      </c>
    </row>
    <row r="113" spans="1:9" ht="38" customHeight="1">
      <c r="A113" s="6" t="s">
        <v>375</v>
      </c>
      <c r="B113" s="6" t="s">
        <v>376</v>
      </c>
      <c r="C113" s="6" t="s">
        <v>461</v>
      </c>
      <c r="D113" s="6" t="s">
        <v>1184</v>
      </c>
      <c r="E113" s="6" t="s">
        <v>1185</v>
      </c>
      <c r="F113" s="6" t="s">
        <v>1186</v>
      </c>
      <c r="G113" s="6" t="s">
        <v>1187</v>
      </c>
      <c r="H113" s="6" t="s">
        <v>1188</v>
      </c>
      <c r="I113" s="6" t="s">
        <v>267</v>
      </c>
    </row>
    <row r="114" spans="1:9" ht="38" customHeight="1">
      <c r="A114" s="4" t="s">
        <v>377</v>
      </c>
      <c r="B114" s="4" t="s">
        <v>378</v>
      </c>
      <c r="C114" s="4" t="s">
        <v>461</v>
      </c>
      <c r="D114" s="4" t="s">
        <v>1184</v>
      </c>
      <c r="E114" s="4" t="s">
        <v>1185</v>
      </c>
      <c r="F114" s="4" t="s">
        <v>1186</v>
      </c>
      <c r="G114" s="4" t="s">
        <v>1187</v>
      </c>
      <c r="H114" s="4" t="s">
        <v>1188</v>
      </c>
      <c r="I114" s="4" t="s">
        <v>267</v>
      </c>
    </row>
    <row r="115" spans="1:9" ht="38" customHeight="1">
      <c r="A115" s="6" t="s">
        <v>379</v>
      </c>
      <c r="B115" s="6" t="s">
        <v>380</v>
      </c>
      <c r="C115" s="6" t="s">
        <v>461</v>
      </c>
      <c r="D115" s="6" t="s">
        <v>1184</v>
      </c>
      <c r="E115" s="6" t="s">
        <v>1185</v>
      </c>
      <c r="F115" s="6" t="s">
        <v>1186</v>
      </c>
      <c r="G115" s="6" t="s">
        <v>1187</v>
      </c>
      <c r="H115" s="6" t="s">
        <v>1188</v>
      </c>
      <c r="I115" s="6" t="s">
        <v>267</v>
      </c>
    </row>
    <row r="116" spans="1:9" ht="38" customHeight="1">
      <c r="A116" s="4" t="s">
        <v>381</v>
      </c>
      <c r="B116" s="4" t="s">
        <v>382</v>
      </c>
      <c r="C116" s="4" t="s">
        <v>461</v>
      </c>
      <c r="D116" s="4" t="s">
        <v>1184</v>
      </c>
      <c r="E116" s="4" t="s">
        <v>1185</v>
      </c>
      <c r="F116" s="4" t="s">
        <v>1186</v>
      </c>
      <c r="G116" s="4" t="s">
        <v>1187</v>
      </c>
      <c r="H116" s="4" t="s">
        <v>1188</v>
      </c>
      <c r="I116" s="4" t="s">
        <v>267</v>
      </c>
    </row>
    <row r="117" spans="1:9" ht="38" customHeight="1">
      <c r="A117" s="6" t="s">
        <v>384</v>
      </c>
      <c r="B117" s="6" t="s">
        <v>385</v>
      </c>
      <c r="C117" s="6" t="s">
        <v>461</v>
      </c>
      <c r="D117" s="6" t="s">
        <v>1184</v>
      </c>
      <c r="E117" s="6" t="s">
        <v>1185</v>
      </c>
      <c r="F117" s="6" t="s">
        <v>1186</v>
      </c>
      <c r="G117" s="6" t="s">
        <v>1187</v>
      </c>
      <c r="H117" s="6" t="s">
        <v>1188</v>
      </c>
      <c r="I117" s="6" t="s">
        <v>267</v>
      </c>
    </row>
    <row r="118" spans="1:9" ht="38" customHeight="1">
      <c r="A118" s="4" t="s">
        <v>386</v>
      </c>
      <c r="B118" s="4" t="s">
        <v>387</v>
      </c>
      <c r="C118" s="4" t="s">
        <v>461</v>
      </c>
      <c r="D118" s="4" t="s">
        <v>1184</v>
      </c>
      <c r="E118" s="4" t="s">
        <v>1185</v>
      </c>
      <c r="F118" s="4" t="s">
        <v>1186</v>
      </c>
      <c r="G118" s="4" t="s">
        <v>1187</v>
      </c>
      <c r="H118" s="4" t="s">
        <v>1188</v>
      </c>
      <c r="I118" s="4" t="s">
        <v>267</v>
      </c>
    </row>
    <row r="119" spans="1:9" ht="38" customHeight="1">
      <c r="A119" s="6" t="s">
        <v>388</v>
      </c>
      <c r="B119" s="6" t="s">
        <v>389</v>
      </c>
      <c r="C119" s="6" t="s">
        <v>461</v>
      </c>
      <c r="D119" s="6" t="s">
        <v>1184</v>
      </c>
      <c r="E119" s="6" t="s">
        <v>1185</v>
      </c>
      <c r="F119" s="6" t="s">
        <v>1186</v>
      </c>
      <c r="G119" s="6" t="s">
        <v>1187</v>
      </c>
      <c r="H119" s="6" t="s">
        <v>1188</v>
      </c>
      <c r="I119" s="6" t="s">
        <v>267</v>
      </c>
    </row>
    <row r="120" spans="1:9" ht="38" customHeight="1">
      <c r="A120" s="4" t="s">
        <v>391</v>
      </c>
      <c r="B120" s="4" t="s">
        <v>392</v>
      </c>
      <c r="C120" s="4" t="s">
        <v>461</v>
      </c>
      <c r="D120" s="4" t="s">
        <v>1184</v>
      </c>
      <c r="E120" s="4" t="s">
        <v>1185</v>
      </c>
      <c r="F120" s="4" t="s">
        <v>1186</v>
      </c>
      <c r="G120" s="4" t="s">
        <v>1187</v>
      </c>
      <c r="H120" s="4" t="s">
        <v>1188</v>
      </c>
      <c r="I120" s="4" t="s">
        <v>267</v>
      </c>
    </row>
    <row r="121" spans="1:9" ht="38" customHeight="1">
      <c r="A121" s="6" t="s">
        <v>394</v>
      </c>
      <c r="B121" s="6" t="s">
        <v>395</v>
      </c>
      <c r="C121" s="6" t="s">
        <v>461</v>
      </c>
      <c r="D121" s="6" t="s">
        <v>1184</v>
      </c>
      <c r="E121" s="6" t="s">
        <v>1185</v>
      </c>
      <c r="F121" s="6" t="s">
        <v>1186</v>
      </c>
      <c r="G121" s="6" t="s">
        <v>1187</v>
      </c>
      <c r="H121" s="6" t="s">
        <v>1188</v>
      </c>
      <c r="I121" s="6" t="s">
        <v>267</v>
      </c>
    </row>
    <row r="122" spans="1:9" ht="38" customHeight="1">
      <c r="A122" s="4" t="s">
        <v>397</v>
      </c>
      <c r="B122" s="4" t="s">
        <v>398</v>
      </c>
      <c r="C122" s="4" t="s">
        <v>461</v>
      </c>
      <c r="D122" s="4" t="s">
        <v>1184</v>
      </c>
      <c r="E122" s="4" t="s">
        <v>1185</v>
      </c>
      <c r="F122" s="4" t="s">
        <v>1186</v>
      </c>
      <c r="G122" s="4" t="s">
        <v>1187</v>
      </c>
      <c r="H122" s="4" t="s">
        <v>1188</v>
      </c>
      <c r="I122" s="4" t="s">
        <v>267</v>
      </c>
    </row>
    <row r="123" spans="1:9" ht="38" customHeight="1">
      <c r="A123" s="6" t="s">
        <v>399</v>
      </c>
      <c r="B123" s="6" t="s">
        <v>400</v>
      </c>
      <c r="C123" s="6" t="s">
        <v>1189</v>
      </c>
      <c r="D123" s="6" t="s">
        <v>1190</v>
      </c>
      <c r="E123" s="6" t="s">
        <v>1191</v>
      </c>
      <c r="F123" s="6" t="s">
        <v>461</v>
      </c>
      <c r="G123" s="6" t="s">
        <v>1192</v>
      </c>
      <c r="H123" s="6" t="s">
        <v>980</v>
      </c>
      <c r="I123" s="6" t="s">
        <v>402</v>
      </c>
    </row>
    <row r="124" spans="1:9" ht="30" customHeight="1">
      <c r="A124" s="4" t="s">
        <v>403</v>
      </c>
      <c r="B124" s="4" t="s">
        <v>404</v>
      </c>
      <c r="C124" s="4" t="s">
        <v>461</v>
      </c>
      <c r="D124" s="4" t="s">
        <v>461</v>
      </c>
      <c r="E124" s="4" t="s">
        <v>1193</v>
      </c>
      <c r="F124" s="4" t="s">
        <v>461</v>
      </c>
      <c r="G124" s="4" t="s">
        <v>461</v>
      </c>
      <c r="H124" s="4" t="s">
        <v>1188</v>
      </c>
      <c r="I124" s="4" t="s">
        <v>409</v>
      </c>
    </row>
    <row r="125" spans="1:9" ht="30" customHeight="1">
      <c r="A125" s="6" t="s">
        <v>410</v>
      </c>
      <c r="B125" s="6" t="s">
        <v>411</v>
      </c>
      <c r="C125" s="6" t="s">
        <v>461</v>
      </c>
      <c r="D125" s="6" t="s">
        <v>461</v>
      </c>
      <c r="E125" s="6" t="s">
        <v>1193</v>
      </c>
      <c r="F125" s="6" t="s">
        <v>461</v>
      </c>
      <c r="G125" s="6" t="s">
        <v>461</v>
      </c>
      <c r="H125" s="6" t="s">
        <v>1188</v>
      </c>
      <c r="I125" s="6" t="s">
        <v>413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5"/>
  <sheetViews>
    <sheetView showGridLines="0" workbookViewId="0">
      <pane xSplit="2" ySplit="5" topLeftCell="E6" activePane="bottomRight" state="frozen"/>
      <selection pane="topRight"/>
      <selection pane="bottomLeft"/>
      <selection pane="bottomRight" activeCell="E6" sqref="E6"/>
    </sheetView>
  </sheetViews>
  <sheetFormatPr defaultRowHeight="14"/>
  <cols>
    <col min="1" max="1" width="11" customWidth="1"/>
    <col min="2" max="2" width="34" customWidth="1"/>
    <col min="3" max="3" width="23" customWidth="1"/>
    <col min="4" max="4" width="38" customWidth="1"/>
    <col min="5" max="5" width="113" customWidth="1"/>
    <col min="6" max="6" width="61" customWidth="1"/>
    <col min="7" max="7" width="29" customWidth="1"/>
  </cols>
  <sheetData>
    <row r="1" spans="1:7">
      <c r="A1" s="1"/>
      <c r="B1" s="1"/>
      <c r="C1" s="1"/>
      <c r="D1" s="1"/>
      <c r="E1" s="1"/>
      <c r="F1" s="1"/>
      <c r="G1" s="1"/>
    </row>
    <row r="2" spans="1:7" ht="18">
      <c r="A2" s="2" t="s">
        <v>1194</v>
      </c>
      <c r="B2" s="1"/>
      <c r="C2" s="1"/>
      <c r="D2" s="1"/>
      <c r="E2" s="1"/>
      <c r="F2" s="1"/>
      <c r="G2" s="1"/>
    </row>
    <row r="3" spans="1:7" ht="26" customHeight="1">
      <c r="A3" s="3" t="s">
        <v>1195</v>
      </c>
      <c r="B3" s="1"/>
      <c r="C3" s="1"/>
      <c r="D3" s="1"/>
      <c r="E3" s="1"/>
      <c r="F3" s="1"/>
      <c r="G3" s="1"/>
    </row>
    <row r="4" spans="1:7">
      <c r="A4" s="1"/>
      <c r="B4" s="1"/>
      <c r="C4" s="1"/>
      <c r="D4" s="1"/>
      <c r="E4" s="1"/>
      <c r="F4" s="1"/>
      <c r="G4" s="1"/>
    </row>
    <row r="5" spans="1:7" ht="34" customHeight="1">
      <c r="A5" s="5" t="s">
        <v>59</v>
      </c>
      <c r="B5" s="5" t="s">
        <v>2</v>
      </c>
      <c r="C5" s="5" t="s">
        <v>1196</v>
      </c>
      <c r="D5" s="5" t="s">
        <v>1197</v>
      </c>
      <c r="E5" s="5" t="s">
        <v>1198</v>
      </c>
      <c r="F5" s="5" t="s">
        <v>1199</v>
      </c>
      <c r="G5" s="5" t="s">
        <v>65</v>
      </c>
    </row>
    <row r="6" spans="1:7" ht="38" customHeight="1">
      <c r="A6" s="4" t="s">
        <v>66</v>
      </c>
      <c r="B6" s="4" t="s">
        <v>32</v>
      </c>
      <c r="C6" s="4">
        <v>1</v>
      </c>
      <c r="D6" s="4" t="s">
        <v>1200</v>
      </c>
      <c r="E6" s="4" t="s">
        <v>1201</v>
      </c>
      <c r="F6" s="4" t="s">
        <v>1202</v>
      </c>
      <c r="G6" s="4" t="s">
        <v>71</v>
      </c>
    </row>
    <row r="7" spans="1:7" ht="38" customHeight="1">
      <c r="A7" s="6" t="s">
        <v>72</v>
      </c>
      <c r="B7" s="6" t="s">
        <v>11</v>
      </c>
      <c r="C7" s="6">
        <v>1</v>
      </c>
      <c r="D7" s="6" t="s">
        <v>1200</v>
      </c>
      <c r="E7" s="6" t="s">
        <v>1203</v>
      </c>
      <c r="F7" s="6" t="s">
        <v>1202</v>
      </c>
      <c r="G7" s="6" t="s">
        <v>75</v>
      </c>
    </row>
    <row r="8" spans="1:7" ht="38" customHeight="1">
      <c r="A8" s="4" t="s">
        <v>76</v>
      </c>
      <c r="B8" s="4" t="s">
        <v>25</v>
      </c>
      <c r="C8" s="4">
        <v>1</v>
      </c>
      <c r="D8" s="4" t="s">
        <v>1200</v>
      </c>
      <c r="E8" s="4" t="s">
        <v>1204</v>
      </c>
      <c r="F8" s="4" t="s">
        <v>1202</v>
      </c>
      <c r="G8" s="4" t="s">
        <v>79</v>
      </c>
    </row>
    <row r="9" spans="1:7" ht="38" customHeight="1">
      <c r="A9" s="6" t="s">
        <v>80</v>
      </c>
      <c r="B9" s="6" t="s">
        <v>18</v>
      </c>
      <c r="C9" s="6">
        <v>1</v>
      </c>
      <c r="D9" s="6" t="s">
        <v>1200</v>
      </c>
      <c r="E9" s="6" t="s">
        <v>1204</v>
      </c>
      <c r="F9" s="6" t="s">
        <v>1202</v>
      </c>
      <c r="G9" s="6" t="s">
        <v>82</v>
      </c>
    </row>
    <row r="10" spans="1:7" ht="38" customHeight="1">
      <c r="A10" s="4" t="s">
        <v>83</v>
      </c>
      <c r="B10" s="4" t="s">
        <v>39</v>
      </c>
      <c r="C10" s="4"/>
      <c r="D10" s="4" t="s">
        <v>1200</v>
      </c>
      <c r="E10" s="4" t="s">
        <v>1205</v>
      </c>
      <c r="F10" s="4" t="s">
        <v>1202</v>
      </c>
      <c r="G10" s="4" t="s">
        <v>85</v>
      </c>
    </row>
    <row r="11" spans="1:7" ht="38" customHeight="1">
      <c r="A11" s="6" t="s">
        <v>86</v>
      </c>
      <c r="B11" s="6" t="s">
        <v>87</v>
      </c>
      <c r="C11" s="6">
        <v>1</v>
      </c>
      <c r="D11" s="6" t="s">
        <v>1200</v>
      </c>
      <c r="E11" s="6" t="s">
        <v>1204</v>
      </c>
      <c r="F11" s="6" t="s">
        <v>1202</v>
      </c>
      <c r="G11" s="6" t="s">
        <v>89</v>
      </c>
    </row>
    <row r="12" spans="1:7" ht="38" customHeight="1">
      <c r="A12" s="4" t="s">
        <v>90</v>
      </c>
      <c r="B12" s="4" t="s">
        <v>91</v>
      </c>
      <c r="C12" s="4"/>
      <c r="D12" s="4" t="s">
        <v>1206</v>
      </c>
      <c r="E12" s="4" t="s">
        <v>1207</v>
      </c>
      <c r="F12" s="4" t="s">
        <v>1202</v>
      </c>
      <c r="G12" s="4" t="s">
        <v>93</v>
      </c>
    </row>
    <row r="13" spans="1:7" ht="38" customHeight="1">
      <c r="A13" s="6" t="s">
        <v>94</v>
      </c>
      <c r="B13" s="6" t="s">
        <v>95</v>
      </c>
      <c r="C13" s="6">
        <v>2</v>
      </c>
      <c r="D13" s="6" t="s">
        <v>1200</v>
      </c>
      <c r="E13" s="6" t="s">
        <v>1204</v>
      </c>
      <c r="F13" s="6" t="s">
        <v>1202</v>
      </c>
      <c r="G13" s="6" t="s">
        <v>97</v>
      </c>
    </row>
    <row r="14" spans="1:7" ht="38" customHeight="1">
      <c r="A14" s="4" t="s">
        <v>98</v>
      </c>
      <c r="B14" s="4" t="s">
        <v>99</v>
      </c>
      <c r="C14" s="4">
        <v>1</v>
      </c>
      <c r="D14" s="4" t="s">
        <v>1200</v>
      </c>
      <c r="E14" s="4" t="s">
        <v>1204</v>
      </c>
      <c r="F14" s="4" t="s">
        <v>1202</v>
      </c>
      <c r="G14" s="4" t="s">
        <v>100</v>
      </c>
    </row>
    <row r="15" spans="1:7" ht="38" customHeight="1">
      <c r="A15" s="6" t="s">
        <v>101</v>
      </c>
      <c r="B15" s="6" t="s">
        <v>102</v>
      </c>
      <c r="C15" s="6">
        <v>1</v>
      </c>
      <c r="D15" s="6" t="s">
        <v>1200</v>
      </c>
      <c r="E15" s="6" t="s">
        <v>1204</v>
      </c>
      <c r="F15" s="6" t="s">
        <v>1202</v>
      </c>
      <c r="G15" s="6" t="s">
        <v>104</v>
      </c>
    </row>
    <row r="16" spans="1:7" ht="38" customHeight="1">
      <c r="A16" s="4" t="s">
        <v>105</v>
      </c>
      <c r="B16" s="4" t="s">
        <v>106</v>
      </c>
      <c r="C16" s="4">
        <v>1</v>
      </c>
      <c r="D16" s="4" t="s">
        <v>1200</v>
      </c>
      <c r="E16" s="4" t="s">
        <v>1204</v>
      </c>
      <c r="F16" s="4" t="s">
        <v>1202</v>
      </c>
      <c r="G16" s="4" t="s">
        <v>107</v>
      </c>
    </row>
    <row r="17" spans="1:7" ht="30" customHeight="1">
      <c r="A17" s="6" t="s">
        <v>108</v>
      </c>
      <c r="B17" s="6" t="s">
        <v>109</v>
      </c>
      <c r="C17" s="6"/>
      <c r="D17" s="6" t="s">
        <v>1206</v>
      </c>
      <c r="E17" s="6" t="s">
        <v>1208</v>
      </c>
      <c r="F17" s="6" t="s">
        <v>1202</v>
      </c>
      <c r="G17" s="6" t="s">
        <v>110</v>
      </c>
    </row>
    <row r="18" spans="1:7" ht="30" customHeight="1">
      <c r="A18" s="4" t="s">
        <v>111</v>
      </c>
      <c r="B18" s="4" t="s">
        <v>112</v>
      </c>
      <c r="C18" s="4"/>
      <c r="D18" s="4" t="s">
        <v>1206</v>
      </c>
      <c r="E18" s="4" t="s">
        <v>1208</v>
      </c>
      <c r="F18" s="4" t="s">
        <v>1202</v>
      </c>
      <c r="G18" s="4" t="s">
        <v>113</v>
      </c>
    </row>
    <row r="19" spans="1:7" ht="38" customHeight="1">
      <c r="A19" s="6" t="s">
        <v>114</v>
      </c>
      <c r="B19" s="6" t="s">
        <v>115</v>
      </c>
      <c r="C19" s="6">
        <v>1</v>
      </c>
      <c r="D19" s="6" t="s">
        <v>1200</v>
      </c>
      <c r="E19" s="6" t="s">
        <v>1204</v>
      </c>
      <c r="F19" s="6" t="s">
        <v>1202</v>
      </c>
      <c r="G19" s="6" t="s">
        <v>116</v>
      </c>
    </row>
    <row r="20" spans="1:7" ht="38" customHeight="1">
      <c r="A20" s="4" t="s">
        <v>117</v>
      </c>
      <c r="B20" s="4" t="s">
        <v>118</v>
      </c>
      <c r="C20" s="4">
        <v>1</v>
      </c>
      <c r="D20" s="4" t="s">
        <v>1200</v>
      </c>
      <c r="E20" s="4" t="s">
        <v>1204</v>
      </c>
      <c r="F20" s="4" t="s">
        <v>1202</v>
      </c>
      <c r="G20" s="4" t="s">
        <v>119</v>
      </c>
    </row>
    <row r="21" spans="1:7" ht="38" customHeight="1">
      <c r="A21" s="6" t="s">
        <v>120</v>
      </c>
      <c r="B21" s="6" t="s">
        <v>121</v>
      </c>
      <c r="C21" s="6">
        <v>1</v>
      </c>
      <c r="D21" s="6" t="s">
        <v>1200</v>
      </c>
      <c r="E21" s="6" t="s">
        <v>1204</v>
      </c>
      <c r="F21" s="6" t="s">
        <v>1202</v>
      </c>
      <c r="G21" s="6" t="s">
        <v>123</v>
      </c>
    </row>
    <row r="22" spans="1:7" ht="30" customHeight="1">
      <c r="A22" s="4" t="s">
        <v>124</v>
      </c>
      <c r="B22" s="4" t="s">
        <v>125</v>
      </c>
      <c r="C22" s="4"/>
      <c r="D22" s="4" t="s">
        <v>1206</v>
      </c>
      <c r="E22" s="4" t="s">
        <v>1208</v>
      </c>
      <c r="F22" s="4" t="s">
        <v>1202</v>
      </c>
      <c r="G22" s="4" t="s">
        <v>126</v>
      </c>
    </row>
    <row r="23" spans="1:7" ht="38" customHeight="1">
      <c r="A23" s="6" t="s">
        <v>127</v>
      </c>
      <c r="B23" s="6" t="s">
        <v>128</v>
      </c>
      <c r="C23" s="6">
        <v>1</v>
      </c>
      <c r="D23" s="6" t="s">
        <v>1200</v>
      </c>
      <c r="E23" s="6" t="s">
        <v>1204</v>
      </c>
      <c r="F23" s="6" t="s">
        <v>1202</v>
      </c>
      <c r="G23" s="6" t="s">
        <v>131</v>
      </c>
    </row>
    <row r="24" spans="1:7" ht="38" customHeight="1">
      <c r="A24" s="4" t="s">
        <v>132</v>
      </c>
      <c r="B24" s="4" t="s">
        <v>133</v>
      </c>
      <c r="C24" s="4">
        <v>1</v>
      </c>
      <c r="D24" s="4" t="s">
        <v>1200</v>
      </c>
      <c r="E24" s="4" t="s">
        <v>1204</v>
      </c>
      <c r="F24" s="4" t="s">
        <v>1202</v>
      </c>
      <c r="G24" s="4" t="s">
        <v>134</v>
      </c>
    </row>
    <row r="25" spans="1:7" ht="38" customHeight="1">
      <c r="A25" s="6" t="s">
        <v>135</v>
      </c>
      <c r="B25" s="6" t="s">
        <v>136</v>
      </c>
      <c r="C25" s="6"/>
      <c r="D25" s="6" t="s">
        <v>1200</v>
      </c>
      <c r="E25" s="6" t="s">
        <v>1209</v>
      </c>
      <c r="F25" s="6" t="s">
        <v>1202</v>
      </c>
      <c r="G25" s="6" t="s">
        <v>137</v>
      </c>
    </row>
    <row r="26" spans="1:7" ht="38" customHeight="1">
      <c r="A26" s="4" t="s">
        <v>138</v>
      </c>
      <c r="B26" s="4" t="s">
        <v>139</v>
      </c>
      <c r="C26" s="4">
        <v>1</v>
      </c>
      <c r="D26" s="4" t="s">
        <v>1200</v>
      </c>
      <c r="E26" s="4" t="s">
        <v>1204</v>
      </c>
      <c r="F26" s="4" t="s">
        <v>1202</v>
      </c>
      <c r="G26" s="4" t="s">
        <v>140</v>
      </c>
    </row>
    <row r="27" spans="1:7" ht="38" customHeight="1">
      <c r="A27" s="6" t="s">
        <v>141</v>
      </c>
      <c r="B27" s="6" t="s">
        <v>142</v>
      </c>
      <c r="C27" s="6">
        <v>1</v>
      </c>
      <c r="D27" s="6" t="s">
        <v>1200</v>
      </c>
      <c r="E27" s="6" t="s">
        <v>1204</v>
      </c>
      <c r="F27" s="6" t="s">
        <v>1202</v>
      </c>
      <c r="G27" s="6" t="s">
        <v>143</v>
      </c>
    </row>
    <row r="28" spans="1:7" ht="38" customHeight="1">
      <c r="A28" s="4" t="s">
        <v>144</v>
      </c>
      <c r="B28" s="4" t="s">
        <v>145</v>
      </c>
      <c r="C28" s="4">
        <v>1</v>
      </c>
      <c r="D28" s="4" t="s">
        <v>1200</v>
      </c>
      <c r="E28" s="4" t="s">
        <v>1204</v>
      </c>
      <c r="F28" s="4" t="s">
        <v>1202</v>
      </c>
      <c r="G28" s="4" t="s">
        <v>147</v>
      </c>
    </row>
    <row r="29" spans="1:7" ht="51" customHeight="1">
      <c r="A29" s="6" t="s">
        <v>148</v>
      </c>
      <c r="B29" s="6" t="s">
        <v>149</v>
      </c>
      <c r="C29" s="6">
        <v>1</v>
      </c>
      <c r="D29" s="6" t="s">
        <v>1200</v>
      </c>
      <c r="E29" s="6" t="s">
        <v>1210</v>
      </c>
      <c r="F29" s="6" t="s">
        <v>1202</v>
      </c>
      <c r="G29" s="6" t="s">
        <v>151</v>
      </c>
    </row>
    <row r="30" spans="1:7" ht="38" customHeight="1">
      <c r="A30" s="4" t="s">
        <v>152</v>
      </c>
      <c r="B30" s="4" t="s">
        <v>153</v>
      </c>
      <c r="C30" s="4">
        <v>1</v>
      </c>
      <c r="D30" s="4" t="s">
        <v>1200</v>
      </c>
      <c r="E30" s="4" t="s">
        <v>1204</v>
      </c>
      <c r="F30" s="4" t="s">
        <v>1202</v>
      </c>
      <c r="G30" s="4" t="s">
        <v>156</v>
      </c>
    </row>
    <row r="31" spans="1:7" ht="38" customHeight="1">
      <c r="A31" s="6" t="s">
        <v>157</v>
      </c>
      <c r="B31" s="6" t="s">
        <v>158</v>
      </c>
      <c r="C31" s="6">
        <v>1</v>
      </c>
      <c r="D31" s="6" t="s">
        <v>1200</v>
      </c>
      <c r="E31" s="6" t="s">
        <v>1211</v>
      </c>
      <c r="F31" s="6" t="s">
        <v>1202</v>
      </c>
      <c r="G31" s="6" t="s">
        <v>159</v>
      </c>
    </row>
    <row r="32" spans="1:7" ht="38" customHeight="1">
      <c r="A32" s="4" t="s">
        <v>160</v>
      </c>
      <c r="B32" s="4" t="s">
        <v>161</v>
      </c>
      <c r="C32" s="4">
        <v>1</v>
      </c>
      <c r="D32" s="4" t="s">
        <v>1200</v>
      </c>
      <c r="E32" s="4" t="s">
        <v>1212</v>
      </c>
      <c r="F32" s="4" t="s">
        <v>1202</v>
      </c>
      <c r="G32" s="4" t="s">
        <v>162</v>
      </c>
    </row>
    <row r="33" spans="1:7" ht="38" customHeight="1">
      <c r="A33" s="6" t="s">
        <v>163</v>
      </c>
      <c r="B33" s="6" t="s">
        <v>164</v>
      </c>
      <c r="C33" s="6"/>
      <c r="D33" s="6" t="s">
        <v>1200</v>
      </c>
      <c r="E33" s="6" t="s">
        <v>1213</v>
      </c>
      <c r="F33" s="6" t="s">
        <v>1202</v>
      </c>
      <c r="G33" s="6" t="s">
        <v>165</v>
      </c>
    </row>
    <row r="34" spans="1:7" ht="38" customHeight="1">
      <c r="A34" s="4" t="s">
        <v>166</v>
      </c>
      <c r="B34" s="4" t="s">
        <v>167</v>
      </c>
      <c r="C34" s="4"/>
      <c r="D34" s="4" t="s">
        <v>1200</v>
      </c>
      <c r="E34" s="4" t="s">
        <v>1205</v>
      </c>
      <c r="F34" s="4" t="s">
        <v>1202</v>
      </c>
      <c r="G34" s="4" t="s">
        <v>168</v>
      </c>
    </row>
    <row r="35" spans="1:7" ht="30" customHeight="1">
      <c r="A35" s="6" t="s">
        <v>169</v>
      </c>
      <c r="B35" s="6" t="s">
        <v>170</v>
      </c>
      <c r="C35" s="6"/>
      <c r="D35" s="6" t="s">
        <v>1206</v>
      </c>
      <c r="E35" s="6" t="s">
        <v>1208</v>
      </c>
      <c r="F35" s="6" t="s">
        <v>1202</v>
      </c>
      <c r="G35" s="6" t="s">
        <v>171</v>
      </c>
    </row>
    <row r="36" spans="1:7" ht="38" customHeight="1">
      <c r="A36" s="4" t="s">
        <v>172</v>
      </c>
      <c r="B36" s="4" t="s">
        <v>173</v>
      </c>
      <c r="C36" s="4"/>
      <c r="D36" s="4" t="s">
        <v>1200</v>
      </c>
      <c r="E36" s="4" t="s">
        <v>1205</v>
      </c>
      <c r="F36" s="4" t="s">
        <v>1202</v>
      </c>
      <c r="G36" s="4" t="s">
        <v>174</v>
      </c>
    </row>
    <row r="37" spans="1:7" ht="30" customHeight="1">
      <c r="A37" s="6" t="s">
        <v>175</v>
      </c>
      <c r="B37" s="6" t="s">
        <v>176</v>
      </c>
      <c r="C37" s="6"/>
      <c r="D37" s="6" t="s">
        <v>1200</v>
      </c>
      <c r="E37" s="6" t="s">
        <v>1214</v>
      </c>
      <c r="F37" s="6" t="s">
        <v>1202</v>
      </c>
      <c r="G37" s="6" t="s">
        <v>177</v>
      </c>
    </row>
    <row r="38" spans="1:7" ht="38" customHeight="1">
      <c r="A38" s="4" t="s">
        <v>178</v>
      </c>
      <c r="B38" s="4" t="s">
        <v>179</v>
      </c>
      <c r="C38" s="4"/>
      <c r="D38" s="4" t="s">
        <v>1200</v>
      </c>
      <c r="E38" s="4" t="s">
        <v>1205</v>
      </c>
      <c r="F38" s="4" t="s">
        <v>1202</v>
      </c>
      <c r="G38" s="4" t="s">
        <v>181</v>
      </c>
    </row>
    <row r="39" spans="1:7" ht="30" customHeight="1">
      <c r="A39" s="6" t="s">
        <v>182</v>
      </c>
      <c r="B39" s="6" t="s">
        <v>183</v>
      </c>
      <c r="C39" s="6"/>
      <c r="D39" s="6" t="s">
        <v>1200</v>
      </c>
      <c r="E39" s="6" t="s">
        <v>1215</v>
      </c>
      <c r="F39" s="6" t="s">
        <v>1202</v>
      </c>
      <c r="G39" s="6" t="s">
        <v>185</v>
      </c>
    </row>
    <row r="40" spans="1:7" ht="38" customHeight="1">
      <c r="A40" s="4" t="s">
        <v>186</v>
      </c>
      <c r="B40" s="4" t="s">
        <v>187</v>
      </c>
      <c r="C40" s="4"/>
      <c r="D40" s="4" t="s">
        <v>1200</v>
      </c>
      <c r="E40" s="4" t="s">
        <v>1205</v>
      </c>
      <c r="F40" s="4" t="s">
        <v>1202</v>
      </c>
      <c r="G40" s="4" t="s">
        <v>188</v>
      </c>
    </row>
    <row r="41" spans="1:7" ht="38" customHeight="1">
      <c r="A41" s="6" t="s">
        <v>189</v>
      </c>
      <c r="B41" s="6" t="s">
        <v>190</v>
      </c>
      <c r="C41" s="6"/>
      <c r="D41" s="6" t="s">
        <v>1200</v>
      </c>
      <c r="E41" s="6" t="s">
        <v>1205</v>
      </c>
      <c r="F41" s="6" t="s">
        <v>1202</v>
      </c>
      <c r="G41" s="6" t="s">
        <v>192</v>
      </c>
    </row>
    <row r="42" spans="1:7" ht="38" customHeight="1">
      <c r="A42" s="4" t="s">
        <v>193</v>
      </c>
      <c r="B42" s="4" t="s">
        <v>194</v>
      </c>
      <c r="C42" s="4"/>
      <c r="D42" s="4" t="s">
        <v>1200</v>
      </c>
      <c r="E42" s="4" t="s">
        <v>1205</v>
      </c>
      <c r="F42" s="4" t="s">
        <v>1202</v>
      </c>
      <c r="G42" s="4" t="s">
        <v>195</v>
      </c>
    </row>
    <row r="43" spans="1:7" ht="30" customHeight="1">
      <c r="A43" s="6" t="s">
        <v>196</v>
      </c>
      <c r="B43" s="6" t="s">
        <v>197</v>
      </c>
      <c r="C43" s="6"/>
      <c r="D43" s="6" t="s">
        <v>1200</v>
      </c>
      <c r="E43" s="6" t="s">
        <v>1216</v>
      </c>
      <c r="F43" s="6" t="s">
        <v>1202</v>
      </c>
      <c r="G43" s="6" t="s">
        <v>199</v>
      </c>
    </row>
    <row r="44" spans="1:7" ht="38" customHeight="1">
      <c r="A44" s="4" t="s">
        <v>200</v>
      </c>
      <c r="B44" s="4" t="s">
        <v>201</v>
      </c>
      <c r="C44" s="4"/>
      <c r="D44" s="4" t="s">
        <v>1200</v>
      </c>
      <c r="E44" s="4" t="s">
        <v>1205</v>
      </c>
      <c r="F44" s="4" t="s">
        <v>1202</v>
      </c>
      <c r="G44" s="4" t="s">
        <v>202</v>
      </c>
    </row>
    <row r="45" spans="1:7" ht="38" customHeight="1">
      <c r="A45" s="6" t="s">
        <v>203</v>
      </c>
      <c r="B45" s="6" t="s">
        <v>204</v>
      </c>
      <c r="C45" s="6"/>
      <c r="D45" s="6" t="s">
        <v>1200</v>
      </c>
      <c r="E45" s="6" t="s">
        <v>1205</v>
      </c>
      <c r="F45" s="6" t="s">
        <v>1202</v>
      </c>
      <c r="G45" s="6" t="s">
        <v>205</v>
      </c>
    </row>
    <row r="46" spans="1:7" ht="30" customHeight="1">
      <c r="A46" s="4" t="s">
        <v>206</v>
      </c>
      <c r="B46" s="4" t="s">
        <v>207</v>
      </c>
      <c r="C46" s="4"/>
      <c r="D46" s="4" t="s">
        <v>1206</v>
      </c>
      <c r="E46" s="4" t="s">
        <v>1208</v>
      </c>
      <c r="F46" s="4" t="s">
        <v>1202</v>
      </c>
      <c r="G46" s="4" t="s">
        <v>208</v>
      </c>
    </row>
    <row r="47" spans="1:7" ht="30" customHeight="1">
      <c r="A47" s="6" t="s">
        <v>209</v>
      </c>
      <c r="B47" s="6" t="s">
        <v>210</v>
      </c>
      <c r="C47" s="6"/>
      <c r="D47" s="6" t="s">
        <v>1206</v>
      </c>
      <c r="E47" s="6" t="s">
        <v>1208</v>
      </c>
      <c r="F47" s="6" t="s">
        <v>1202</v>
      </c>
      <c r="G47" s="6" t="s">
        <v>211</v>
      </c>
    </row>
    <row r="48" spans="1:7" ht="38" customHeight="1">
      <c r="A48" s="4" t="s">
        <v>212</v>
      </c>
      <c r="B48" s="4" t="s">
        <v>213</v>
      </c>
      <c r="C48" s="4"/>
      <c r="D48" s="4" t="s">
        <v>1200</v>
      </c>
      <c r="E48" s="4" t="s">
        <v>1205</v>
      </c>
      <c r="F48" s="4" t="s">
        <v>1202</v>
      </c>
      <c r="G48" s="4" t="s">
        <v>214</v>
      </c>
    </row>
    <row r="49" spans="1:7" ht="38" customHeight="1">
      <c r="A49" s="6" t="s">
        <v>215</v>
      </c>
      <c r="B49" s="6" t="s">
        <v>216</v>
      </c>
      <c r="C49" s="6"/>
      <c r="D49" s="6" t="s">
        <v>1206</v>
      </c>
      <c r="E49" s="6" t="s">
        <v>1217</v>
      </c>
      <c r="F49" s="6" t="s">
        <v>1202</v>
      </c>
      <c r="G49" s="6" t="s">
        <v>220</v>
      </c>
    </row>
    <row r="50" spans="1:7" ht="30" customHeight="1">
      <c r="A50" s="4" t="s">
        <v>221</v>
      </c>
      <c r="B50" s="4" t="s">
        <v>222</v>
      </c>
      <c r="C50" s="4"/>
      <c r="D50" s="4" t="s">
        <v>1206</v>
      </c>
      <c r="E50" s="4" t="s">
        <v>1208</v>
      </c>
      <c r="F50" s="4" t="s">
        <v>1202</v>
      </c>
      <c r="G50" s="4" t="s">
        <v>224</v>
      </c>
    </row>
    <row r="51" spans="1:7" ht="30" customHeight="1">
      <c r="A51" s="6" t="s">
        <v>225</v>
      </c>
      <c r="B51" s="6" t="s">
        <v>226</v>
      </c>
      <c r="C51" s="6"/>
      <c r="D51" s="6" t="s">
        <v>1206</v>
      </c>
      <c r="E51" s="6" t="s">
        <v>1208</v>
      </c>
      <c r="F51" s="6" t="s">
        <v>1202</v>
      </c>
      <c r="G51" s="6" t="s">
        <v>229</v>
      </c>
    </row>
    <row r="52" spans="1:7" ht="30" customHeight="1">
      <c r="A52" s="4" t="s">
        <v>230</v>
      </c>
      <c r="B52" s="4" t="s">
        <v>231</v>
      </c>
      <c r="C52" s="4"/>
      <c r="D52" s="4" t="s">
        <v>1206</v>
      </c>
      <c r="E52" s="4" t="s">
        <v>1208</v>
      </c>
      <c r="F52" s="4" t="s">
        <v>1202</v>
      </c>
      <c r="G52" s="4" t="s">
        <v>234</v>
      </c>
    </row>
    <row r="53" spans="1:7" ht="30" customHeight="1">
      <c r="A53" s="6" t="s">
        <v>235</v>
      </c>
      <c r="B53" s="6" t="s">
        <v>236</v>
      </c>
      <c r="C53" s="6"/>
      <c r="D53" s="6" t="s">
        <v>1206</v>
      </c>
      <c r="E53" s="6" t="s">
        <v>1208</v>
      </c>
      <c r="F53" s="6" t="s">
        <v>1202</v>
      </c>
      <c r="G53" s="6" t="s">
        <v>238</v>
      </c>
    </row>
    <row r="54" spans="1:7" ht="38" customHeight="1">
      <c r="A54" s="4" t="s">
        <v>239</v>
      </c>
      <c r="B54" s="4" t="s">
        <v>240</v>
      </c>
      <c r="C54" s="4"/>
      <c r="D54" s="4" t="s">
        <v>1206</v>
      </c>
      <c r="E54" s="4" t="s">
        <v>1218</v>
      </c>
      <c r="F54" s="4" t="s">
        <v>1202</v>
      </c>
      <c r="G54" s="4" t="s">
        <v>243</v>
      </c>
    </row>
    <row r="55" spans="1:7" ht="38" customHeight="1">
      <c r="A55" s="6" t="s">
        <v>244</v>
      </c>
      <c r="B55" s="6" t="s">
        <v>245</v>
      </c>
      <c r="C55" s="6">
        <v>1</v>
      </c>
      <c r="D55" s="6" t="s">
        <v>1200</v>
      </c>
      <c r="E55" s="6" t="s">
        <v>1204</v>
      </c>
      <c r="F55" s="6" t="s">
        <v>1202</v>
      </c>
      <c r="G55" s="6" t="s">
        <v>247</v>
      </c>
    </row>
    <row r="56" spans="1:7" ht="30" customHeight="1">
      <c r="A56" s="4" t="s">
        <v>248</v>
      </c>
      <c r="B56" s="4" t="s">
        <v>249</v>
      </c>
      <c r="C56" s="4"/>
      <c r="D56" s="4" t="s">
        <v>1206</v>
      </c>
      <c r="E56" s="4" t="s">
        <v>1219</v>
      </c>
      <c r="F56" s="4" t="s">
        <v>1202</v>
      </c>
      <c r="G56" s="4" t="s">
        <v>251</v>
      </c>
    </row>
    <row r="57" spans="1:7" ht="38" customHeight="1">
      <c r="A57" s="6" t="s">
        <v>252</v>
      </c>
      <c r="B57" s="6" t="s">
        <v>253</v>
      </c>
      <c r="C57" s="6"/>
      <c r="D57" s="6" t="s">
        <v>1200</v>
      </c>
      <c r="E57" s="6" t="s">
        <v>1205</v>
      </c>
      <c r="F57" s="6" t="s">
        <v>1202</v>
      </c>
      <c r="G57" s="6" t="s">
        <v>254</v>
      </c>
    </row>
    <row r="58" spans="1:7" ht="38" customHeight="1">
      <c r="A58" s="4" t="s">
        <v>255</v>
      </c>
      <c r="B58" s="4" t="s">
        <v>256</v>
      </c>
      <c r="C58" s="4"/>
      <c r="D58" s="4" t="s">
        <v>1200</v>
      </c>
      <c r="E58" s="4" t="s">
        <v>1205</v>
      </c>
      <c r="F58" s="4" t="s">
        <v>1202</v>
      </c>
      <c r="G58" s="4" t="s">
        <v>258</v>
      </c>
    </row>
    <row r="59" spans="1:7" ht="38" customHeight="1">
      <c r="A59" s="6" t="s">
        <v>259</v>
      </c>
      <c r="B59" s="6" t="s">
        <v>260</v>
      </c>
      <c r="C59" s="6"/>
      <c r="D59" s="6" t="s">
        <v>1200</v>
      </c>
      <c r="E59" s="6" t="s">
        <v>1220</v>
      </c>
      <c r="F59" s="6" t="s">
        <v>1202</v>
      </c>
      <c r="G59" s="6" t="s">
        <v>261</v>
      </c>
    </row>
    <row r="60" spans="1:7" ht="30" customHeight="1">
      <c r="A60" s="4" t="s">
        <v>262</v>
      </c>
      <c r="B60" s="4" t="s">
        <v>263</v>
      </c>
      <c r="C60" s="4"/>
      <c r="D60" s="4" t="s">
        <v>1200</v>
      </c>
      <c r="E60" s="4" t="s">
        <v>1221</v>
      </c>
      <c r="F60" s="4" t="s">
        <v>1202</v>
      </c>
      <c r="G60" s="4" t="s">
        <v>267</v>
      </c>
    </row>
    <row r="61" spans="1:7" ht="30" customHeight="1">
      <c r="A61" s="6" t="s">
        <v>268</v>
      </c>
      <c r="B61" s="6" t="s">
        <v>269</v>
      </c>
      <c r="C61" s="6"/>
      <c r="D61" s="6" t="s">
        <v>1200</v>
      </c>
      <c r="E61" s="6" t="s">
        <v>1221</v>
      </c>
      <c r="F61" s="6" t="s">
        <v>1202</v>
      </c>
      <c r="G61" s="6" t="s">
        <v>267</v>
      </c>
    </row>
    <row r="62" spans="1:7" ht="30" customHeight="1">
      <c r="A62" s="4" t="s">
        <v>270</v>
      </c>
      <c r="B62" s="4" t="s">
        <v>271</v>
      </c>
      <c r="C62" s="4"/>
      <c r="D62" s="4" t="s">
        <v>1200</v>
      </c>
      <c r="E62" s="4" t="s">
        <v>1221</v>
      </c>
      <c r="F62" s="4" t="s">
        <v>1202</v>
      </c>
      <c r="G62" s="4" t="s">
        <v>267</v>
      </c>
    </row>
    <row r="63" spans="1:7" ht="30" customHeight="1">
      <c r="A63" s="6" t="s">
        <v>272</v>
      </c>
      <c r="B63" s="6" t="s">
        <v>273</v>
      </c>
      <c r="C63" s="6"/>
      <c r="D63" s="6" t="s">
        <v>1200</v>
      </c>
      <c r="E63" s="6" t="s">
        <v>1221</v>
      </c>
      <c r="F63" s="6" t="s">
        <v>1202</v>
      </c>
      <c r="G63" s="6" t="s">
        <v>267</v>
      </c>
    </row>
    <row r="64" spans="1:7" ht="30" customHeight="1">
      <c r="A64" s="4" t="s">
        <v>274</v>
      </c>
      <c r="B64" s="4" t="s">
        <v>275</v>
      </c>
      <c r="C64" s="4"/>
      <c r="D64" s="4" t="s">
        <v>1200</v>
      </c>
      <c r="E64" s="4" t="s">
        <v>1221</v>
      </c>
      <c r="F64" s="4" t="s">
        <v>1202</v>
      </c>
      <c r="G64" s="4" t="s">
        <v>267</v>
      </c>
    </row>
    <row r="65" spans="1:7" ht="30" customHeight="1">
      <c r="A65" s="6" t="s">
        <v>276</v>
      </c>
      <c r="B65" s="6" t="s">
        <v>277</v>
      </c>
      <c r="C65" s="6"/>
      <c r="D65" s="6" t="s">
        <v>1200</v>
      </c>
      <c r="E65" s="6" t="s">
        <v>1221</v>
      </c>
      <c r="F65" s="6" t="s">
        <v>1202</v>
      </c>
      <c r="G65" s="6" t="s">
        <v>267</v>
      </c>
    </row>
    <row r="66" spans="1:7" ht="30" customHeight="1">
      <c r="A66" s="4" t="s">
        <v>278</v>
      </c>
      <c r="B66" s="4" t="s">
        <v>279</v>
      </c>
      <c r="C66" s="4"/>
      <c r="D66" s="4" t="s">
        <v>1200</v>
      </c>
      <c r="E66" s="4" t="s">
        <v>1221</v>
      </c>
      <c r="F66" s="4" t="s">
        <v>1202</v>
      </c>
      <c r="G66" s="4" t="s">
        <v>267</v>
      </c>
    </row>
    <row r="67" spans="1:7" ht="30" customHeight="1">
      <c r="A67" s="6" t="s">
        <v>280</v>
      </c>
      <c r="B67" s="6" t="s">
        <v>281</v>
      </c>
      <c r="C67" s="6"/>
      <c r="D67" s="6" t="s">
        <v>1200</v>
      </c>
      <c r="E67" s="6" t="s">
        <v>1221</v>
      </c>
      <c r="F67" s="6" t="s">
        <v>1202</v>
      </c>
      <c r="G67" s="6" t="s">
        <v>267</v>
      </c>
    </row>
    <row r="68" spans="1:7" ht="30" customHeight="1">
      <c r="A68" s="4" t="s">
        <v>282</v>
      </c>
      <c r="B68" s="4" t="s">
        <v>283</v>
      </c>
      <c r="C68" s="4"/>
      <c r="D68" s="4" t="s">
        <v>1200</v>
      </c>
      <c r="E68" s="4" t="s">
        <v>1221</v>
      </c>
      <c r="F68" s="4" t="s">
        <v>1202</v>
      </c>
      <c r="G68" s="4" t="s">
        <v>267</v>
      </c>
    </row>
    <row r="69" spans="1:7" ht="30" customHeight="1">
      <c r="A69" s="6" t="s">
        <v>284</v>
      </c>
      <c r="B69" s="6" t="s">
        <v>285</v>
      </c>
      <c r="C69" s="6"/>
      <c r="D69" s="6" t="s">
        <v>1200</v>
      </c>
      <c r="E69" s="6" t="s">
        <v>1221</v>
      </c>
      <c r="F69" s="6" t="s">
        <v>1202</v>
      </c>
      <c r="G69" s="6" t="s">
        <v>267</v>
      </c>
    </row>
    <row r="70" spans="1:7" ht="30" customHeight="1">
      <c r="A70" s="4" t="s">
        <v>286</v>
      </c>
      <c r="B70" s="4" t="s">
        <v>287</v>
      </c>
      <c r="C70" s="4"/>
      <c r="D70" s="4" t="s">
        <v>1200</v>
      </c>
      <c r="E70" s="4" t="s">
        <v>1221</v>
      </c>
      <c r="F70" s="4" t="s">
        <v>1202</v>
      </c>
      <c r="G70" s="4" t="s">
        <v>267</v>
      </c>
    </row>
    <row r="71" spans="1:7" ht="30" customHeight="1">
      <c r="A71" s="6" t="s">
        <v>288</v>
      </c>
      <c r="B71" s="6" t="s">
        <v>289</v>
      </c>
      <c r="C71" s="6"/>
      <c r="D71" s="6" t="s">
        <v>1200</v>
      </c>
      <c r="E71" s="6" t="s">
        <v>1221</v>
      </c>
      <c r="F71" s="6" t="s">
        <v>1202</v>
      </c>
      <c r="G71" s="6" t="s">
        <v>267</v>
      </c>
    </row>
    <row r="72" spans="1:7" ht="30" customHeight="1">
      <c r="A72" s="4" t="s">
        <v>290</v>
      </c>
      <c r="B72" s="4" t="s">
        <v>291</v>
      </c>
      <c r="C72" s="4"/>
      <c r="D72" s="4" t="s">
        <v>1200</v>
      </c>
      <c r="E72" s="4" t="s">
        <v>1221</v>
      </c>
      <c r="F72" s="4" t="s">
        <v>1202</v>
      </c>
      <c r="G72" s="4" t="s">
        <v>267</v>
      </c>
    </row>
    <row r="73" spans="1:7" ht="30" customHeight="1">
      <c r="A73" s="6" t="s">
        <v>292</v>
      </c>
      <c r="B73" s="6" t="s">
        <v>293</v>
      </c>
      <c r="C73" s="6"/>
      <c r="D73" s="6" t="s">
        <v>1200</v>
      </c>
      <c r="E73" s="6" t="s">
        <v>1221</v>
      </c>
      <c r="F73" s="6" t="s">
        <v>1202</v>
      </c>
      <c r="G73" s="6" t="s">
        <v>267</v>
      </c>
    </row>
    <row r="74" spans="1:7" ht="30" customHeight="1">
      <c r="A74" s="4" t="s">
        <v>294</v>
      </c>
      <c r="B74" s="4" t="s">
        <v>295</v>
      </c>
      <c r="C74" s="4"/>
      <c r="D74" s="4" t="s">
        <v>1200</v>
      </c>
      <c r="E74" s="4" t="s">
        <v>1221</v>
      </c>
      <c r="F74" s="4" t="s">
        <v>1202</v>
      </c>
      <c r="G74" s="4" t="s">
        <v>267</v>
      </c>
    </row>
    <row r="75" spans="1:7" ht="30" customHeight="1">
      <c r="A75" s="6" t="s">
        <v>296</v>
      </c>
      <c r="B75" s="6" t="s">
        <v>297</v>
      </c>
      <c r="C75" s="6"/>
      <c r="D75" s="6" t="s">
        <v>1200</v>
      </c>
      <c r="E75" s="6" t="s">
        <v>1221</v>
      </c>
      <c r="F75" s="6" t="s">
        <v>1202</v>
      </c>
      <c r="G75" s="6" t="s">
        <v>267</v>
      </c>
    </row>
    <row r="76" spans="1:7" ht="30" customHeight="1">
      <c r="A76" s="4" t="s">
        <v>298</v>
      </c>
      <c r="B76" s="4" t="s">
        <v>299</v>
      </c>
      <c r="C76" s="4"/>
      <c r="D76" s="4" t="s">
        <v>1200</v>
      </c>
      <c r="E76" s="4" t="s">
        <v>1221</v>
      </c>
      <c r="F76" s="4" t="s">
        <v>1202</v>
      </c>
      <c r="G76" s="4" t="s">
        <v>267</v>
      </c>
    </row>
    <row r="77" spans="1:7" ht="30" customHeight="1">
      <c r="A77" s="6" t="s">
        <v>300</v>
      </c>
      <c r="B77" s="6" t="s">
        <v>301</v>
      </c>
      <c r="C77" s="6"/>
      <c r="D77" s="6" t="s">
        <v>1200</v>
      </c>
      <c r="E77" s="6" t="s">
        <v>1221</v>
      </c>
      <c r="F77" s="6" t="s">
        <v>1202</v>
      </c>
      <c r="G77" s="6" t="s">
        <v>267</v>
      </c>
    </row>
    <row r="78" spans="1:7" ht="30" customHeight="1">
      <c r="A78" s="4" t="s">
        <v>302</v>
      </c>
      <c r="B78" s="4" t="s">
        <v>303</v>
      </c>
      <c r="C78" s="4"/>
      <c r="D78" s="4" t="s">
        <v>1200</v>
      </c>
      <c r="E78" s="4" t="s">
        <v>1221</v>
      </c>
      <c r="F78" s="4" t="s">
        <v>1202</v>
      </c>
      <c r="G78" s="4" t="s">
        <v>267</v>
      </c>
    </row>
    <row r="79" spans="1:7" ht="30" customHeight="1">
      <c r="A79" s="6" t="s">
        <v>304</v>
      </c>
      <c r="B79" s="6" t="s">
        <v>305</v>
      </c>
      <c r="C79" s="6"/>
      <c r="D79" s="6" t="s">
        <v>1200</v>
      </c>
      <c r="E79" s="6" t="s">
        <v>1221</v>
      </c>
      <c r="F79" s="6" t="s">
        <v>1202</v>
      </c>
      <c r="G79" s="6" t="s">
        <v>267</v>
      </c>
    </row>
    <row r="80" spans="1:7" ht="30" customHeight="1">
      <c r="A80" s="4" t="s">
        <v>306</v>
      </c>
      <c r="B80" s="4" t="s">
        <v>307</v>
      </c>
      <c r="C80" s="4"/>
      <c r="D80" s="4" t="s">
        <v>1200</v>
      </c>
      <c r="E80" s="4" t="s">
        <v>1221</v>
      </c>
      <c r="F80" s="4" t="s">
        <v>1202</v>
      </c>
      <c r="G80" s="4" t="s">
        <v>267</v>
      </c>
    </row>
    <row r="81" spans="1:7" ht="30" customHeight="1">
      <c r="A81" s="6" t="s">
        <v>308</v>
      </c>
      <c r="B81" s="6" t="s">
        <v>309</v>
      </c>
      <c r="C81" s="6"/>
      <c r="D81" s="6" t="s">
        <v>1200</v>
      </c>
      <c r="E81" s="6" t="s">
        <v>1221</v>
      </c>
      <c r="F81" s="6" t="s">
        <v>1202</v>
      </c>
      <c r="G81" s="6" t="s">
        <v>267</v>
      </c>
    </row>
    <row r="82" spans="1:7" ht="30" customHeight="1">
      <c r="A82" s="4" t="s">
        <v>310</v>
      </c>
      <c r="B82" s="4" t="s">
        <v>311</v>
      </c>
      <c r="C82" s="4"/>
      <c r="D82" s="4" t="s">
        <v>1200</v>
      </c>
      <c r="E82" s="4" t="s">
        <v>1221</v>
      </c>
      <c r="F82" s="4" t="s">
        <v>1202</v>
      </c>
      <c r="G82" s="4" t="s">
        <v>267</v>
      </c>
    </row>
    <row r="83" spans="1:7" ht="30" customHeight="1">
      <c r="A83" s="6" t="s">
        <v>312</v>
      </c>
      <c r="B83" s="6" t="s">
        <v>313</v>
      </c>
      <c r="C83" s="6"/>
      <c r="D83" s="6" t="s">
        <v>1200</v>
      </c>
      <c r="E83" s="6" t="s">
        <v>1221</v>
      </c>
      <c r="F83" s="6" t="s">
        <v>1202</v>
      </c>
      <c r="G83" s="6" t="s">
        <v>267</v>
      </c>
    </row>
    <row r="84" spans="1:7" ht="30" customHeight="1">
      <c r="A84" s="4" t="s">
        <v>314</v>
      </c>
      <c r="B84" s="4" t="s">
        <v>315</v>
      </c>
      <c r="C84" s="4"/>
      <c r="D84" s="4" t="s">
        <v>1200</v>
      </c>
      <c r="E84" s="4" t="s">
        <v>1221</v>
      </c>
      <c r="F84" s="4" t="s">
        <v>1202</v>
      </c>
      <c r="G84" s="4" t="s">
        <v>267</v>
      </c>
    </row>
    <row r="85" spans="1:7" ht="30" customHeight="1">
      <c r="A85" s="6" t="s">
        <v>316</v>
      </c>
      <c r="B85" s="6" t="s">
        <v>317</v>
      </c>
      <c r="C85" s="6"/>
      <c r="D85" s="6" t="s">
        <v>1200</v>
      </c>
      <c r="E85" s="6" t="s">
        <v>1221</v>
      </c>
      <c r="F85" s="6" t="s">
        <v>1202</v>
      </c>
      <c r="G85" s="6" t="s">
        <v>267</v>
      </c>
    </row>
    <row r="86" spans="1:7" ht="30" customHeight="1">
      <c r="A86" s="4" t="s">
        <v>318</v>
      </c>
      <c r="B86" s="4" t="s">
        <v>319</v>
      </c>
      <c r="C86" s="4"/>
      <c r="D86" s="4" t="s">
        <v>1200</v>
      </c>
      <c r="E86" s="4" t="s">
        <v>1221</v>
      </c>
      <c r="F86" s="4" t="s">
        <v>1202</v>
      </c>
      <c r="G86" s="4" t="s">
        <v>267</v>
      </c>
    </row>
    <row r="87" spans="1:7" ht="30" customHeight="1">
      <c r="A87" s="6" t="s">
        <v>320</v>
      </c>
      <c r="B87" s="6" t="s">
        <v>321</v>
      </c>
      <c r="C87" s="6"/>
      <c r="D87" s="6" t="s">
        <v>1200</v>
      </c>
      <c r="E87" s="6" t="s">
        <v>1221</v>
      </c>
      <c r="F87" s="6" t="s">
        <v>1202</v>
      </c>
      <c r="G87" s="6" t="s">
        <v>267</v>
      </c>
    </row>
    <row r="88" spans="1:7" ht="30" customHeight="1">
      <c r="A88" s="4" t="s">
        <v>322</v>
      </c>
      <c r="B88" s="4" t="s">
        <v>323</v>
      </c>
      <c r="C88" s="4"/>
      <c r="D88" s="4" t="s">
        <v>1200</v>
      </c>
      <c r="E88" s="4" t="s">
        <v>1221</v>
      </c>
      <c r="F88" s="4" t="s">
        <v>1202</v>
      </c>
      <c r="G88" s="4" t="s">
        <v>267</v>
      </c>
    </row>
    <row r="89" spans="1:7" ht="30" customHeight="1">
      <c r="A89" s="6" t="s">
        <v>324</v>
      </c>
      <c r="B89" s="6" t="s">
        <v>325</v>
      </c>
      <c r="C89" s="6"/>
      <c r="D89" s="6" t="s">
        <v>1200</v>
      </c>
      <c r="E89" s="6" t="s">
        <v>1221</v>
      </c>
      <c r="F89" s="6" t="s">
        <v>1202</v>
      </c>
      <c r="G89" s="6" t="s">
        <v>267</v>
      </c>
    </row>
    <row r="90" spans="1:7" ht="30" customHeight="1">
      <c r="A90" s="4" t="s">
        <v>326</v>
      </c>
      <c r="B90" s="4" t="s">
        <v>327</v>
      </c>
      <c r="C90" s="4"/>
      <c r="D90" s="4" t="s">
        <v>1200</v>
      </c>
      <c r="E90" s="4" t="s">
        <v>1221</v>
      </c>
      <c r="F90" s="4" t="s">
        <v>1202</v>
      </c>
      <c r="G90" s="4" t="s">
        <v>267</v>
      </c>
    </row>
    <row r="91" spans="1:7" ht="30" customHeight="1">
      <c r="A91" s="6" t="s">
        <v>328</v>
      </c>
      <c r="B91" s="6" t="s">
        <v>329</v>
      </c>
      <c r="C91" s="6"/>
      <c r="D91" s="6" t="s">
        <v>1200</v>
      </c>
      <c r="E91" s="6" t="s">
        <v>1221</v>
      </c>
      <c r="F91" s="6" t="s">
        <v>1202</v>
      </c>
      <c r="G91" s="6" t="s">
        <v>267</v>
      </c>
    </row>
    <row r="92" spans="1:7" ht="30" customHeight="1">
      <c r="A92" s="4" t="s">
        <v>330</v>
      </c>
      <c r="B92" s="4" t="s">
        <v>331</v>
      </c>
      <c r="C92" s="4"/>
      <c r="D92" s="4" t="s">
        <v>1200</v>
      </c>
      <c r="E92" s="4" t="s">
        <v>1221</v>
      </c>
      <c r="F92" s="4" t="s">
        <v>1202</v>
      </c>
      <c r="G92" s="4" t="s">
        <v>267</v>
      </c>
    </row>
    <row r="93" spans="1:7" ht="30" customHeight="1">
      <c r="A93" s="6" t="s">
        <v>332</v>
      </c>
      <c r="B93" s="6" t="s">
        <v>333</v>
      </c>
      <c r="C93" s="6"/>
      <c r="D93" s="6" t="s">
        <v>1200</v>
      </c>
      <c r="E93" s="6" t="s">
        <v>1221</v>
      </c>
      <c r="F93" s="6" t="s">
        <v>1202</v>
      </c>
      <c r="G93" s="6" t="s">
        <v>267</v>
      </c>
    </row>
    <row r="94" spans="1:7" ht="30" customHeight="1">
      <c r="A94" s="4" t="s">
        <v>334</v>
      </c>
      <c r="B94" s="4" t="s">
        <v>335</v>
      </c>
      <c r="C94" s="4"/>
      <c r="D94" s="4" t="s">
        <v>1200</v>
      </c>
      <c r="E94" s="4" t="s">
        <v>1221</v>
      </c>
      <c r="F94" s="4" t="s">
        <v>1202</v>
      </c>
      <c r="G94" s="4" t="s">
        <v>267</v>
      </c>
    </row>
    <row r="95" spans="1:7" ht="30" customHeight="1">
      <c r="A95" s="6" t="s">
        <v>336</v>
      </c>
      <c r="B95" s="6" t="s">
        <v>337</v>
      </c>
      <c r="C95" s="6"/>
      <c r="D95" s="6" t="s">
        <v>1200</v>
      </c>
      <c r="E95" s="6" t="s">
        <v>1221</v>
      </c>
      <c r="F95" s="6" t="s">
        <v>1202</v>
      </c>
      <c r="G95" s="6" t="s">
        <v>267</v>
      </c>
    </row>
    <row r="96" spans="1:7" ht="30" customHeight="1">
      <c r="A96" s="4" t="s">
        <v>338</v>
      </c>
      <c r="B96" s="4" t="s">
        <v>339</v>
      </c>
      <c r="C96" s="4"/>
      <c r="D96" s="4" t="s">
        <v>1200</v>
      </c>
      <c r="E96" s="4" t="s">
        <v>1221</v>
      </c>
      <c r="F96" s="4" t="s">
        <v>1202</v>
      </c>
      <c r="G96" s="4" t="s">
        <v>267</v>
      </c>
    </row>
    <row r="97" spans="1:7" ht="30" customHeight="1">
      <c r="A97" s="6" t="s">
        <v>340</v>
      </c>
      <c r="B97" s="6" t="s">
        <v>341</v>
      </c>
      <c r="C97" s="6"/>
      <c r="D97" s="6" t="s">
        <v>1200</v>
      </c>
      <c r="E97" s="6" t="s">
        <v>1221</v>
      </c>
      <c r="F97" s="6" t="s">
        <v>1202</v>
      </c>
      <c r="G97" s="6" t="s">
        <v>267</v>
      </c>
    </row>
    <row r="98" spans="1:7" ht="30" customHeight="1">
      <c r="A98" s="4" t="s">
        <v>342</v>
      </c>
      <c r="B98" s="4" t="s">
        <v>343</v>
      </c>
      <c r="C98" s="4"/>
      <c r="D98" s="4" t="s">
        <v>1200</v>
      </c>
      <c r="E98" s="4" t="s">
        <v>1221</v>
      </c>
      <c r="F98" s="4" t="s">
        <v>1202</v>
      </c>
      <c r="G98" s="4" t="s">
        <v>267</v>
      </c>
    </row>
    <row r="99" spans="1:7" ht="30" customHeight="1">
      <c r="A99" s="6" t="s">
        <v>344</v>
      </c>
      <c r="B99" s="6" t="s">
        <v>345</v>
      </c>
      <c r="C99" s="6"/>
      <c r="D99" s="6" t="s">
        <v>1200</v>
      </c>
      <c r="E99" s="6" t="s">
        <v>1221</v>
      </c>
      <c r="F99" s="6" t="s">
        <v>1202</v>
      </c>
      <c r="G99" s="6" t="s">
        <v>267</v>
      </c>
    </row>
    <row r="100" spans="1:7" ht="30" customHeight="1">
      <c r="A100" s="4" t="s">
        <v>346</v>
      </c>
      <c r="B100" s="4" t="s">
        <v>347</v>
      </c>
      <c r="C100" s="4"/>
      <c r="D100" s="4" t="s">
        <v>1200</v>
      </c>
      <c r="E100" s="4" t="s">
        <v>1221</v>
      </c>
      <c r="F100" s="4" t="s">
        <v>1202</v>
      </c>
      <c r="G100" s="4" t="s">
        <v>267</v>
      </c>
    </row>
    <row r="101" spans="1:7" ht="30" customHeight="1">
      <c r="A101" s="6" t="s">
        <v>348</v>
      </c>
      <c r="B101" s="6" t="s">
        <v>349</v>
      </c>
      <c r="C101" s="6"/>
      <c r="D101" s="6" t="s">
        <v>1200</v>
      </c>
      <c r="E101" s="6" t="s">
        <v>1221</v>
      </c>
      <c r="F101" s="6" t="s">
        <v>1202</v>
      </c>
      <c r="G101" s="6" t="s">
        <v>267</v>
      </c>
    </row>
    <row r="102" spans="1:7" ht="30" customHeight="1">
      <c r="A102" s="4" t="s">
        <v>350</v>
      </c>
      <c r="B102" s="4" t="s">
        <v>351</v>
      </c>
      <c r="C102" s="4"/>
      <c r="D102" s="4" t="s">
        <v>1200</v>
      </c>
      <c r="E102" s="4" t="s">
        <v>1221</v>
      </c>
      <c r="F102" s="4" t="s">
        <v>1202</v>
      </c>
      <c r="G102" s="4" t="s">
        <v>267</v>
      </c>
    </row>
    <row r="103" spans="1:7" ht="30" customHeight="1">
      <c r="A103" s="6" t="s">
        <v>352</v>
      </c>
      <c r="B103" s="6" t="s">
        <v>353</v>
      </c>
      <c r="C103" s="6"/>
      <c r="D103" s="6" t="s">
        <v>1200</v>
      </c>
      <c r="E103" s="6" t="s">
        <v>1221</v>
      </c>
      <c r="F103" s="6" t="s">
        <v>1202</v>
      </c>
      <c r="G103" s="6" t="s">
        <v>267</v>
      </c>
    </row>
    <row r="104" spans="1:7" ht="30" customHeight="1">
      <c r="A104" s="4" t="s">
        <v>356</v>
      </c>
      <c r="B104" s="4" t="s">
        <v>357</v>
      </c>
      <c r="C104" s="4"/>
      <c r="D104" s="4" t="s">
        <v>1200</v>
      </c>
      <c r="E104" s="4" t="s">
        <v>1221</v>
      </c>
      <c r="F104" s="4" t="s">
        <v>1202</v>
      </c>
      <c r="G104" s="4" t="s">
        <v>267</v>
      </c>
    </row>
    <row r="105" spans="1:7" ht="30" customHeight="1">
      <c r="A105" s="6" t="s">
        <v>358</v>
      </c>
      <c r="B105" s="6" t="s">
        <v>359</v>
      </c>
      <c r="C105" s="6"/>
      <c r="D105" s="6" t="s">
        <v>1200</v>
      </c>
      <c r="E105" s="6" t="s">
        <v>1221</v>
      </c>
      <c r="F105" s="6" t="s">
        <v>1202</v>
      </c>
      <c r="G105" s="6" t="s">
        <v>267</v>
      </c>
    </row>
    <row r="106" spans="1:7" ht="30" customHeight="1">
      <c r="A106" s="4" t="s">
        <v>360</v>
      </c>
      <c r="B106" s="4" t="s">
        <v>361</v>
      </c>
      <c r="C106" s="4"/>
      <c r="D106" s="4" t="s">
        <v>1200</v>
      </c>
      <c r="E106" s="4" t="s">
        <v>1221</v>
      </c>
      <c r="F106" s="4" t="s">
        <v>1202</v>
      </c>
      <c r="G106" s="4" t="s">
        <v>267</v>
      </c>
    </row>
    <row r="107" spans="1:7" ht="30" customHeight="1">
      <c r="A107" s="6" t="s">
        <v>362</v>
      </c>
      <c r="B107" s="6" t="s">
        <v>363</v>
      </c>
      <c r="C107" s="6"/>
      <c r="D107" s="6" t="s">
        <v>1200</v>
      </c>
      <c r="E107" s="6" t="s">
        <v>1221</v>
      </c>
      <c r="F107" s="6" t="s">
        <v>1202</v>
      </c>
      <c r="G107" s="6" t="s">
        <v>267</v>
      </c>
    </row>
    <row r="108" spans="1:7" ht="30" customHeight="1">
      <c r="A108" s="4" t="s">
        <v>365</v>
      </c>
      <c r="B108" s="4" t="s">
        <v>366</v>
      </c>
      <c r="C108" s="4"/>
      <c r="D108" s="4" t="s">
        <v>1200</v>
      </c>
      <c r="E108" s="4" t="s">
        <v>1221</v>
      </c>
      <c r="F108" s="4" t="s">
        <v>1202</v>
      </c>
      <c r="G108" s="4" t="s">
        <v>267</v>
      </c>
    </row>
    <row r="109" spans="1:7" ht="30" customHeight="1">
      <c r="A109" s="6" t="s">
        <v>367</v>
      </c>
      <c r="B109" s="6" t="s">
        <v>368</v>
      </c>
      <c r="C109" s="6"/>
      <c r="D109" s="6" t="s">
        <v>1200</v>
      </c>
      <c r="E109" s="6" t="s">
        <v>1221</v>
      </c>
      <c r="F109" s="6" t="s">
        <v>1202</v>
      </c>
      <c r="G109" s="6" t="s">
        <v>267</v>
      </c>
    </row>
    <row r="110" spans="1:7" ht="30" customHeight="1">
      <c r="A110" s="4" t="s">
        <v>369</v>
      </c>
      <c r="B110" s="4" t="s">
        <v>370</v>
      </c>
      <c r="C110" s="4"/>
      <c r="D110" s="4" t="s">
        <v>1200</v>
      </c>
      <c r="E110" s="4" t="s">
        <v>1221</v>
      </c>
      <c r="F110" s="4" t="s">
        <v>1202</v>
      </c>
      <c r="G110" s="4" t="s">
        <v>267</v>
      </c>
    </row>
    <row r="111" spans="1:7" ht="30" customHeight="1">
      <c r="A111" s="6" t="s">
        <v>371</v>
      </c>
      <c r="B111" s="6" t="s">
        <v>372</v>
      </c>
      <c r="C111" s="6"/>
      <c r="D111" s="6" t="s">
        <v>1200</v>
      </c>
      <c r="E111" s="6" t="s">
        <v>1221</v>
      </c>
      <c r="F111" s="6" t="s">
        <v>1202</v>
      </c>
      <c r="G111" s="6" t="s">
        <v>267</v>
      </c>
    </row>
    <row r="112" spans="1:7" ht="30" customHeight="1">
      <c r="A112" s="4" t="s">
        <v>373</v>
      </c>
      <c r="B112" s="4" t="s">
        <v>374</v>
      </c>
      <c r="C112" s="4"/>
      <c r="D112" s="4" t="s">
        <v>1200</v>
      </c>
      <c r="E112" s="4" t="s">
        <v>1221</v>
      </c>
      <c r="F112" s="4" t="s">
        <v>1202</v>
      </c>
      <c r="G112" s="4" t="s">
        <v>267</v>
      </c>
    </row>
    <row r="113" spans="1:7" ht="30" customHeight="1">
      <c r="A113" s="6" t="s">
        <v>375</v>
      </c>
      <c r="B113" s="6" t="s">
        <v>376</v>
      </c>
      <c r="C113" s="6"/>
      <c r="D113" s="6" t="s">
        <v>1200</v>
      </c>
      <c r="E113" s="6" t="s">
        <v>1221</v>
      </c>
      <c r="F113" s="6" t="s">
        <v>1202</v>
      </c>
      <c r="G113" s="6" t="s">
        <v>267</v>
      </c>
    </row>
    <row r="114" spans="1:7" ht="30" customHeight="1">
      <c r="A114" s="4" t="s">
        <v>377</v>
      </c>
      <c r="B114" s="4" t="s">
        <v>378</v>
      </c>
      <c r="C114" s="4"/>
      <c r="D114" s="4" t="s">
        <v>1200</v>
      </c>
      <c r="E114" s="4" t="s">
        <v>1221</v>
      </c>
      <c r="F114" s="4" t="s">
        <v>1202</v>
      </c>
      <c r="G114" s="4" t="s">
        <v>267</v>
      </c>
    </row>
    <row r="115" spans="1:7" ht="30" customHeight="1">
      <c r="A115" s="6" t="s">
        <v>379</v>
      </c>
      <c r="B115" s="6" t="s">
        <v>380</v>
      </c>
      <c r="C115" s="6"/>
      <c r="D115" s="6" t="s">
        <v>1200</v>
      </c>
      <c r="E115" s="6" t="s">
        <v>1221</v>
      </c>
      <c r="F115" s="6" t="s">
        <v>1202</v>
      </c>
      <c r="G115" s="6" t="s">
        <v>267</v>
      </c>
    </row>
    <row r="116" spans="1:7" ht="38" customHeight="1">
      <c r="A116" s="4" t="s">
        <v>381</v>
      </c>
      <c r="B116" s="4" t="s">
        <v>382</v>
      </c>
      <c r="C116" s="4"/>
      <c r="D116" s="4" t="s">
        <v>1200</v>
      </c>
      <c r="E116" s="4" t="s">
        <v>1221</v>
      </c>
      <c r="F116" s="4" t="s">
        <v>1202</v>
      </c>
      <c r="G116" s="4" t="s">
        <v>267</v>
      </c>
    </row>
    <row r="117" spans="1:7" ht="30" customHeight="1">
      <c r="A117" s="6" t="s">
        <v>384</v>
      </c>
      <c r="B117" s="6" t="s">
        <v>385</v>
      </c>
      <c r="C117" s="6"/>
      <c r="D117" s="6" t="s">
        <v>1200</v>
      </c>
      <c r="E117" s="6" t="s">
        <v>1221</v>
      </c>
      <c r="F117" s="6" t="s">
        <v>1202</v>
      </c>
      <c r="G117" s="6" t="s">
        <v>267</v>
      </c>
    </row>
    <row r="118" spans="1:7" ht="30" customHeight="1">
      <c r="A118" s="4" t="s">
        <v>386</v>
      </c>
      <c r="B118" s="4" t="s">
        <v>387</v>
      </c>
      <c r="C118" s="4"/>
      <c r="D118" s="4" t="s">
        <v>1200</v>
      </c>
      <c r="E118" s="4" t="s">
        <v>1221</v>
      </c>
      <c r="F118" s="4" t="s">
        <v>1202</v>
      </c>
      <c r="G118" s="4" t="s">
        <v>267</v>
      </c>
    </row>
    <row r="119" spans="1:7" ht="38" customHeight="1">
      <c r="A119" s="6" t="s">
        <v>388</v>
      </c>
      <c r="B119" s="6" t="s">
        <v>389</v>
      </c>
      <c r="C119" s="6"/>
      <c r="D119" s="6" t="s">
        <v>1200</v>
      </c>
      <c r="E119" s="6" t="s">
        <v>1221</v>
      </c>
      <c r="F119" s="6" t="s">
        <v>1202</v>
      </c>
      <c r="G119" s="6" t="s">
        <v>267</v>
      </c>
    </row>
    <row r="120" spans="1:7" ht="30" customHeight="1">
      <c r="A120" s="4" t="s">
        <v>391</v>
      </c>
      <c r="B120" s="4" t="s">
        <v>392</v>
      </c>
      <c r="C120" s="4"/>
      <c r="D120" s="4" t="s">
        <v>1200</v>
      </c>
      <c r="E120" s="4" t="s">
        <v>1221</v>
      </c>
      <c r="F120" s="4" t="s">
        <v>1202</v>
      </c>
      <c r="G120" s="4" t="s">
        <v>267</v>
      </c>
    </row>
    <row r="121" spans="1:7" ht="30" customHeight="1">
      <c r="A121" s="6" t="s">
        <v>394</v>
      </c>
      <c r="B121" s="6" t="s">
        <v>395</v>
      </c>
      <c r="C121" s="6"/>
      <c r="D121" s="6" t="s">
        <v>1200</v>
      </c>
      <c r="E121" s="6" t="s">
        <v>1221</v>
      </c>
      <c r="F121" s="6" t="s">
        <v>1202</v>
      </c>
      <c r="G121" s="6" t="s">
        <v>267</v>
      </c>
    </row>
    <row r="122" spans="1:7" ht="30" customHeight="1">
      <c r="A122" s="4" t="s">
        <v>397</v>
      </c>
      <c r="B122" s="4" t="s">
        <v>398</v>
      </c>
      <c r="C122" s="4"/>
      <c r="D122" s="4" t="s">
        <v>1200</v>
      </c>
      <c r="E122" s="4" t="s">
        <v>1221</v>
      </c>
      <c r="F122" s="4" t="s">
        <v>1202</v>
      </c>
      <c r="G122" s="4" t="s">
        <v>267</v>
      </c>
    </row>
    <row r="123" spans="1:7" ht="30" customHeight="1">
      <c r="A123" s="6" t="s">
        <v>399</v>
      </c>
      <c r="B123" s="6" t="s">
        <v>400</v>
      </c>
      <c r="C123" s="6">
        <v>1</v>
      </c>
      <c r="D123" s="6" t="s">
        <v>1206</v>
      </c>
      <c r="E123" s="6" t="s">
        <v>1222</v>
      </c>
      <c r="F123" s="6" t="s">
        <v>1202</v>
      </c>
      <c r="G123" s="6" t="s">
        <v>402</v>
      </c>
    </row>
    <row r="124" spans="1:7" ht="30" customHeight="1">
      <c r="A124" s="4" t="s">
        <v>403</v>
      </c>
      <c r="B124" s="4" t="s">
        <v>404</v>
      </c>
      <c r="C124" s="4"/>
      <c r="D124" s="4" t="s">
        <v>1206</v>
      </c>
      <c r="E124" s="4" t="s">
        <v>1223</v>
      </c>
      <c r="F124" s="4" t="s">
        <v>1202</v>
      </c>
      <c r="G124" s="4" t="s">
        <v>409</v>
      </c>
    </row>
    <row r="125" spans="1:7" ht="30" customHeight="1">
      <c r="A125" s="6" t="s">
        <v>410</v>
      </c>
      <c r="B125" s="6" t="s">
        <v>411</v>
      </c>
      <c r="C125" s="6"/>
      <c r="D125" s="6" t="s">
        <v>1206</v>
      </c>
      <c r="E125" s="6" t="s">
        <v>1223</v>
      </c>
      <c r="F125" s="6" t="s">
        <v>1202</v>
      </c>
      <c r="G125" s="6" t="s">
        <v>413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9"/>
  <sheetViews>
    <sheetView showGridLines="0" workbookViewId="0">
      <pane xSplit="2" ySplit="5" topLeftCell="C6" activePane="bottomRight" state="frozen"/>
      <selection pane="topRight"/>
      <selection pane="bottomLeft"/>
      <selection pane="bottomRight" activeCell="B6" sqref="B6"/>
    </sheetView>
  </sheetViews>
  <sheetFormatPr defaultRowHeight="14"/>
  <cols>
    <col min="1" max="1" width="37" customWidth="1"/>
    <col min="2" max="2" width="99" customWidth="1"/>
    <col min="3" max="3" width="26" customWidth="1"/>
    <col min="4" max="4" width="20" customWidth="1"/>
  </cols>
  <sheetData>
    <row r="1" spans="1:4">
      <c r="A1" s="1"/>
      <c r="B1" s="1"/>
      <c r="C1" s="1"/>
      <c r="D1" s="1"/>
    </row>
    <row r="2" spans="1:4" ht="18">
      <c r="A2" s="2" t="s">
        <v>1224</v>
      </c>
      <c r="B2" s="1"/>
      <c r="C2" s="1"/>
      <c r="D2" s="1"/>
    </row>
    <row r="3" spans="1:4" ht="26" customHeight="1">
      <c r="A3" s="3" t="s">
        <v>1225</v>
      </c>
      <c r="B3" s="1"/>
      <c r="C3" s="1"/>
      <c r="D3" s="1"/>
    </row>
    <row r="4" spans="1:4">
      <c r="A4" s="1"/>
      <c r="B4" s="1"/>
      <c r="C4" s="1"/>
      <c r="D4" s="1"/>
    </row>
    <row r="5" spans="1:4" ht="34" customHeight="1">
      <c r="A5" s="5" t="s">
        <v>2</v>
      </c>
      <c r="B5" s="5" t="s">
        <v>1226</v>
      </c>
      <c r="C5" s="5" t="s">
        <v>1227</v>
      </c>
      <c r="D5" s="5" t="s">
        <v>1228</v>
      </c>
    </row>
    <row r="6" spans="1:4" ht="30" customHeight="1">
      <c r="A6" s="4" t="s">
        <v>25</v>
      </c>
      <c r="B6" s="4" t="s">
        <v>1229</v>
      </c>
      <c r="C6" s="15">
        <v>1047.19</v>
      </c>
      <c r="D6" s="4" t="s">
        <v>267</v>
      </c>
    </row>
    <row r="7" spans="1:4" ht="30" customHeight="1">
      <c r="A7" s="6" t="s">
        <v>102</v>
      </c>
      <c r="B7" s="6" t="s">
        <v>1230</v>
      </c>
      <c r="C7" s="16">
        <v>2048.83</v>
      </c>
      <c r="D7" s="6" t="s">
        <v>267</v>
      </c>
    </row>
    <row r="8" spans="1:4" ht="30" customHeight="1">
      <c r="A8" s="4" t="s">
        <v>106</v>
      </c>
      <c r="B8" s="4" t="s">
        <v>1231</v>
      </c>
      <c r="C8" s="15">
        <v>4192.75</v>
      </c>
      <c r="D8" s="4" t="s">
        <v>267</v>
      </c>
    </row>
    <row r="9" spans="1:4" ht="30" customHeight="1">
      <c r="A9" s="6" t="s">
        <v>115</v>
      </c>
      <c r="B9" s="6" t="s">
        <v>1232</v>
      </c>
      <c r="C9" s="16">
        <v>3907.02</v>
      </c>
      <c r="D9" s="6" t="s">
        <v>267</v>
      </c>
    </row>
    <row r="10" spans="1:4" ht="30" customHeight="1">
      <c r="A10" s="4" t="s">
        <v>245</v>
      </c>
      <c r="B10" s="4" t="s">
        <v>1233</v>
      </c>
      <c r="C10" s="15">
        <v>2558.77</v>
      </c>
      <c r="D10" s="4" t="s">
        <v>267</v>
      </c>
    </row>
    <row r="11" spans="1:4" ht="30" customHeight="1">
      <c r="A11" s="6" t="s">
        <v>133</v>
      </c>
      <c r="B11" s="6" t="s">
        <v>1234</v>
      </c>
      <c r="C11" s="16">
        <v>4095.49</v>
      </c>
      <c r="D11" s="6" t="s">
        <v>267</v>
      </c>
    </row>
    <row r="12" spans="1:4" ht="30" customHeight="1">
      <c r="A12" s="4" t="s">
        <v>99</v>
      </c>
      <c r="B12" s="4" t="s">
        <v>1235</v>
      </c>
      <c r="C12" s="15">
        <v>3108</v>
      </c>
      <c r="D12" s="4" t="s">
        <v>267</v>
      </c>
    </row>
    <row r="13" spans="1:4" ht="30" customHeight="1">
      <c r="A13" s="6" t="s">
        <v>87</v>
      </c>
      <c r="B13" s="6" t="s">
        <v>1236</v>
      </c>
      <c r="C13" s="16">
        <v>8375.2000000000007</v>
      </c>
      <c r="D13" s="6" t="s">
        <v>267</v>
      </c>
    </row>
    <row r="14" spans="1:4" ht="30" customHeight="1">
      <c r="A14" s="4" t="s">
        <v>142</v>
      </c>
      <c r="B14" s="4" t="s">
        <v>1237</v>
      </c>
      <c r="C14" s="15">
        <v>1253.04</v>
      </c>
      <c r="D14" s="4" t="s">
        <v>267</v>
      </c>
    </row>
    <row r="15" spans="1:4" ht="30" customHeight="1">
      <c r="A15" s="6" t="s">
        <v>139</v>
      </c>
      <c r="B15" s="6" t="s">
        <v>1238</v>
      </c>
      <c r="C15" s="16">
        <v>2147.1</v>
      </c>
      <c r="D15" s="6" t="s">
        <v>267</v>
      </c>
    </row>
    <row r="16" spans="1:4" ht="30" customHeight="1">
      <c r="A16" s="4" t="s">
        <v>161</v>
      </c>
      <c r="B16" s="4" t="s">
        <v>1239</v>
      </c>
      <c r="C16" s="15">
        <v>2547.9</v>
      </c>
      <c r="D16" s="4" t="s">
        <v>267</v>
      </c>
    </row>
    <row r="17" spans="1:4" ht="30" customHeight="1">
      <c r="A17" s="6" t="s">
        <v>118</v>
      </c>
      <c r="B17" s="6" t="s">
        <v>1240</v>
      </c>
      <c r="C17" s="16">
        <v>4140</v>
      </c>
      <c r="D17" s="6" t="s">
        <v>267</v>
      </c>
    </row>
    <row r="18" spans="1:4" ht="30" customHeight="1">
      <c r="A18" s="4" t="s">
        <v>32</v>
      </c>
      <c r="B18" s="4" t="s">
        <v>1241</v>
      </c>
      <c r="C18" s="15">
        <v>4786.1099999999997</v>
      </c>
      <c r="D18" s="4" t="s">
        <v>267</v>
      </c>
    </row>
    <row r="19" spans="1:4" ht="30" customHeight="1">
      <c r="A19" s="6" t="s">
        <v>18</v>
      </c>
      <c r="B19" s="6" t="s">
        <v>1242</v>
      </c>
      <c r="C19" s="16">
        <v>1743</v>
      </c>
      <c r="D19" s="6" t="s">
        <v>267</v>
      </c>
    </row>
    <row r="20" spans="1:4" ht="30" customHeight="1">
      <c r="A20" s="4" t="s">
        <v>145</v>
      </c>
      <c r="B20" s="4" t="s">
        <v>1243</v>
      </c>
      <c r="C20" s="15">
        <v>6536</v>
      </c>
      <c r="D20" s="4" t="s">
        <v>267</v>
      </c>
    </row>
    <row r="21" spans="1:4" ht="30" customHeight="1">
      <c r="A21" s="6" t="s">
        <v>95</v>
      </c>
      <c r="B21" s="6" t="s">
        <v>1244</v>
      </c>
      <c r="C21" s="16">
        <v>4430</v>
      </c>
      <c r="D21" s="6" t="s">
        <v>267</v>
      </c>
    </row>
    <row r="22" spans="1:4" ht="30" customHeight="1">
      <c r="A22" s="4" t="s">
        <v>95</v>
      </c>
      <c r="B22" s="4" t="s">
        <v>1245</v>
      </c>
      <c r="C22" s="15">
        <v>6125</v>
      </c>
      <c r="D22" s="4" t="s">
        <v>267</v>
      </c>
    </row>
    <row r="23" spans="1:4" ht="30" customHeight="1">
      <c r="A23" s="6" t="s">
        <v>121</v>
      </c>
      <c r="B23" s="6" t="s">
        <v>1246</v>
      </c>
      <c r="C23" s="16">
        <v>986</v>
      </c>
      <c r="D23" s="6" t="s">
        <v>267</v>
      </c>
    </row>
    <row r="24" spans="1:4" ht="30" customHeight="1">
      <c r="A24" s="4" t="s">
        <v>158</v>
      </c>
      <c r="B24" s="4" t="s">
        <v>1247</v>
      </c>
      <c r="C24" s="15">
        <v>2555.5700000000002</v>
      </c>
      <c r="D24" s="4" t="s">
        <v>267</v>
      </c>
    </row>
    <row r="25" spans="1:4" ht="30" customHeight="1">
      <c r="A25" s="6" t="s">
        <v>400</v>
      </c>
      <c r="B25" s="6" t="s">
        <v>1248</v>
      </c>
      <c r="C25" s="16">
        <v>4000</v>
      </c>
      <c r="D25" s="6" t="s">
        <v>267</v>
      </c>
    </row>
    <row r="26" spans="1:4" ht="30" customHeight="1">
      <c r="A26" s="4" t="s">
        <v>149</v>
      </c>
      <c r="B26" s="4" t="s">
        <v>1249</v>
      </c>
      <c r="C26" s="15">
        <v>2953</v>
      </c>
      <c r="D26" s="4" t="s">
        <v>267</v>
      </c>
    </row>
    <row r="27" spans="1:4" ht="30" customHeight="1">
      <c r="A27" s="6" t="s">
        <v>11</v>
      </c>
      <c r="B27" s="6" t="s">
        <v>1250</v>
      </c>
      <c r="C27" s="16">
        <v>2964</v>
      </c>
      <c r="D27" s="6" t="s">
        <v>267</v>
      </c>
    </row>
    <row r="28" spans="1:4" ht="30" customHeight="1">
      <c r="A28" s="4" t="s">
        <v>153</v>
      </c>
      <c r="B28" s="4" t="s">
        <v>1251</v>
      </c>
      <c r="C28" s="15">
        <v>428</v>
      </c>
      <c r="D28" s="4" t="s">
        <v>267</v>
      </c>
    </row>
    <row r="29" spans="1:4" ht="30" customHeight="1">
      <c r="A29" s="6" t="s">
        <v>128</v>
      </c>
      <c r="B29" s="6" t="s">
        <v>1252</v>
      </c>
      <c r="C29" s="16">
        <v>748</v>
      </c>
      <c r="D29" s="6" t="s">
        <v>267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85"/>
  <sheetViews>
    <sheetView showGridLines="0" workbookViewId="0">
      <pane xSplit="2" ySplit="5" topLeftCell="E6" activePane="bottomRight" state="frozen"/>
      <selection pane="topRight"/>
      <selection pane="bottomLeft"/>
      <selection pane="bottomRight" activeCell="E6" sqref="E6"/>
    </sheetView>
  </sheetViews>
  <sheetFormatPr defaultRowHeight="14"/>
  <cols>
    <col min="1" max="1" width="11" customWidth="1"/>
    <col min="2" max="2" width="34" customWidth="1"/>
    <col min="3" max="3" width="28" customWidth="1"/>
    <col min="4" max="4" width="124" customWidth="1"/>
    <col min="5" max="5" width="54" customWidth="1"/>
    <col min="6" max="6" width="29" customWidth="1"/>
  </cols>
  <sheetData>
    <row r="1" spans="1:6">
      <c r="A1" s="1"/>
      <c r="B1" s="1"/>
      <c r="C1" s="1"/>
      <c r="D1" s="1"/>
      <c r="E1" s="1"/>
      <c r="F1" s="1"/>
    </row>
    <row r="2" spans="1:6" ht="18">
      <c r="A2" s="2" t="s">
        <v>1253</v>
      </c>
      <c r="B2" s="1"/>
      <c r="C2" s="1"/>
      <c r="D2" s="1"/>
      <c r="E2" s="1"/>
      <c r="F2" s="1"/>
    </row>
    <row r="3" spans="1:6" ht="26" customHeight="1">
      <c r="A3" s="3" t="s">
        <v>1254</v>
      </c>
      <c r="B3" s="1"/>
      <c r="C3" s="1"/>
      <c r="D3" s="1"/>
      <c r="E3" s="1"/>
      <c r="F3" s="1"/>
    </row>
    <row r="4" spans="1:6">
      <c r="A4" s="1"/>
      <c r="B4" s="1"/>
      <c r="C4" s="1"/>
      <c r="D4" s="1"/>
      <c r="E4" s="1"/>
      <c r="F4" s="1"/>
    </row>
    <row r="5" spans="1:6" ht="34" customHeight="1">
      <c r="A5" s="5" t="s">
        <v>59</v>
      </c>
      <c r="B5" s="5" t="s">
        <v>2</v>
      </c>
      <c r="C5" s="5" t="s">
        <v>1255</v>
      </c>
      <c r="D5" s="5" t="s">
        <v>1256</v>
      </c>
      <c r="E5" s="5" t="s">
        <v>1257</v>
      </c>
      <c r="F5" s="5" t="s">
        <v>1258</v>
      </c>
    </row>
    <row r="6" spans="1:6" ht="38" customHeight="1">
      <c r="A6" s="4" t="s">
        <v>66</v>
      </c>
      <c r="B6" s="4" t="s">
        <v>32</v>
      </c>
      <c r="C6" s="4" t="s">
        <v>1259</v>
      </c>
      <c r="D6" s="4" t="s">
        <v>1260</v>
      </c>
      <c r="E6" s="4" t="s">
        <v>1261</v>
      </c>
      <c r="F6" s="4" t="s">
        <v>71</v>
      </c>
    </row>
    <row r="7" spans="1:6" ht="38" customHeight="1">
      <c r="A7" s="6" t="s">
        <v>66</v>
      </c>
      <c r="B7" s="6" t="s">
        <v>32</v>
      </c>
      <c r="C7" s="6" t="s">
        <v>1262</v>
      </c>
      <c r="D7" s="6" t="s">
        <v>958</v>
      </c>
      <c r="E7" s="6" t="s">
        <v>1261</v>
      </c>
      <c r="F7" s="6" t="s">
        <v>71</v>
      </c>
    </row>
    <row r="8" spans="1:6" ht="38" customHeight="1">
      <c r="A8" s="4" t="s">
        <v>66</v>
      </c>
      <c r="B8" s="4" t="s">
        <v>32</v>
      </c>
      <c r="C8" s="4" t="s">
        <v>1263</v>
      </c>
      <c r="D8" s="4" t="s">
        <v>1264</v>
      </c>
      <c r="E8" s="4" t="s">
        <v>1261</v>
      </c>
      <c r="F8" s="4" t="s">
        <v>71</v>
      </c>
    </row>
    <row r="9" spans="1:6" ht="38" customHeight="1">
      <c r="A9" s="6" t="s">
        <v>66</v>
      </c>
      <c r="B9" s="6" t="s">
        <v>32</v>
      </c>
      <c r="C9" s="6" t="s">
        <v>1265</v>
      </c>
      <c r="D9" s="6" t="s">
        <v>1266</v>
      </c>
      <c r="E9" s="6" t="s">
        <v>1261</v>
      </c>
      <c r="F9" s="6" t="s">
        <v>71</v>
      </c>
    </row>
    <row r="10" spans="1:6" ht="38" customHeight="1">
      <c r="A10" s="4" t="s">
        <v>66</v>
      </c>
      <c r="B10" s="4" t="s">
        <v>32</v>
      </c>
      <c r="C10" s="4" t="s">
        <v>1267</v>
      </c>
      <c r="D10" s="4" t="s">
        <v>1268</v>
      </c>
      <c r="E10" s="4" t="s">
        <v>1261</v>
      </c>
      <c r="F10" s="4" t="s">
        <v>71</v>
      </c>
    </row>
    <row r="11" spans="1:6" ht="38" customHeight="1">
      <c r="A11" s="6" t="s">
        <v>66</v>
      </c>
      <c r="B11" s="6" t="s">
        <v>32</v>
      </c>
      <c r="C11" s="6" t="s">
        <v>1269</v>
      </c>
      <c r="D11" s="6" t="s">
        <v>1270</v>
      </c>
      <c r="E11" s="6" t="s">
        <v>1261</v>
      </c>
      <c r="F11" s="6" t="s">
        <v>71</v>
      </c>
    </row>
    <row r="12" spans="1:6" ht="38" customHeight="1">
      <c r="A12" s="4" t="s">
        <v>66</v>
      </c>
      <c r="B12" s="4" t="s">
        <v>32</v>
      </c>
      <c r="C12" s="4" t="s">
        <v>1271</v>
      </c>
      <c r="D12" s="4" t="s">
        <v>1272</v>
      </c>
      <c r="E12" s="4" t="s">
        <v>1261</v>
      </c>
      <c r="F12" s="4" t="s">
        <v>71</v>
      </c>
    </row>
    <row r="13" spans="1:6" ht="38" customHeight="1">
      <c r="A13" s="6" t="s">
        <v>66</v>
      </c>
      <c r="B13" s="6" t="s">
        <v>32</v>
      </c>
      <c r="C13" s="6" t="s">
        <v>1273</v>
      </c>
      <c r="D13" s="6" t="s">
        <v>1274</v>
      </c>
      <c r="E13" s="6" t="s">
        <v>1261</v>
      </c>
      <c r="F13" s="6" t="s">
        <v>71</v>
      </c>
    </row>
    <row r="14" spans="1:6" ht="38" customHeight="1">
      <c r="A14" s="4" t="s">
        <v>66</v>
      </c>
      <c r="B14" s="4" t="s">
        <v>32</v>
      </c>
      <c r="C14" s="4" t="s">
        <v>1275</v>
      </c>
      <c r="D14" s="4" t="s">
        <v>1276</v>
      </c>
      <c r="E14" s="4" t="s">
        <v>1261</v>
      </c>
      <c r="F14" s="4" t="s">
        <v>71</v>
      </c>
    </row>
    <row r="15" spans="1:6" ht="38" customHeight="1">
      <c r="A15" s="6" t="s">
        <v>72</v>
      </c>
      <c r="B15" s="6" t="s">
        <v>11</v>
      </c>
      <c r="C15" s="6" t="s">
        <v>1259</v>
      </c>
      <c r="D15" s="6" t="s">
        <v>1277</v>
      </c>
      <c r="E15" s="6" t="s">
        <v>1261</v>
      </c>
      <c r="F15" s="6" t="s">
        <v>75</v>
      </c>
    </row>
    <row r="16" spans="1:6" ht="38" customHeight="1">
      <c r="A16" s="4" t="s">
        <v>72</v>
      </c>
      <c r="B16" s="4" t="s">
        <v>11</v>
      </c>
      <c r="C16" s="4" t="s">
        <v>1262</v>
      </c>
      <c r="D16" s="4" t="s">
        <v>964</v>
      </c>
      <c r="E16" s="4" t="s">
        <v>1261</v>
      </c>
      <c r="F16" s="4" t="s">
        <v>75</v>
      </c>
    </row>
    <row r="17" spans="1:6" ht="38" customHeight="1">
      <c r="A17" s="6" t="s">
        <v>72</v>
      </c>
      <c r="B17" s="6" t="s">
        <v>11</v>
      </c>
      <c r="C17" s="6" t="s">
        <v>1263</v>
      </c>
      <c r="D17" s="6" t="s">
        <v>1264</v>
      </c>
      <c r="E17" s="6" t="s">
        <v>1261</v>
      </c>
      <c r="F17" s="6" t="s">
        <v>75</v>
      </c>
    </row>
    <row r="18" spans="1:6" ht="38" customHeight="1">
      <c r="A18" s="4" t="s">
        <v>72</v>
      </c>
      <c r="B18" s="4" t="s">
        <v>11</v>
      </c>
      <c r="C18" s="4" t="s">
        <v>1265</v>
      </c>
      <c r="D18" s="4" t="s">
        <v>1266</v>
      </c>
      <c r="E18" s="4" t="s">
        <v>1261</v>
      </c>
      <c r="F18" s="4" t="s">
        <v>75</v>
      </c>
    </row>
    <row r="19" spans="1:6" ht="38" customHeight="1">
      <c r="A19" s="6" t="s">
        <v>72</v>
      </c>
      <c r="B19" s="6" t="s">
        <v>11</v>
      </c>
      <c r="C19" s="6" t="s">
        <v>1267</v>
      </c>
      <c r="D19" s="6" t="s">
        <v>1268</v>
      </c>
      <c r="E19" s="6" t="s">
        <v>1261</v>
      </c>
      <c r="F19" s="6" t="s">
        <v>75</v>
      </c>
    </row>
    <row r="20" spans="1:6" ht="38" customHeight="1">
      <c r="A20" s="4" t="s">
        <v>72</v>
      </c>
      <c r="B20" s="4" t="s">
        <v>11</v>
      </c>
      <c r="C20" s="4" t="s">
        <v>1269</v>
      </c>
      <c r="D20" s="4" t="s">
        <v>1270</v>
      </c>
      <c r="E20" s="4" t="s">
        <v>1261</v>
      </c>
      <c r="F20" s="4" t="s">
        <v>75</v>
      </c>
    </row>
    <row r="21" spans="1:6" ht="51" customHeight="1">
      <c r="A21" s="6" t="s">
        <v>72</v>
      </c>
      <c r="B21" s="6" t="s">
        <v>11</v>
      </c>
      <c r="C21" s="6" t="s">
        <v>1271</v>
      </c>
      <c r="D21" s="6" t="s">
        <v>1278</v>
      </c>
      <c r="E21" s="6" t="s">
        <v>1261</v>
      </c>
      <c r="F21" s="6" t="s">
        <v>75</v>
      </c>
    </row>
    <row r="22" spans="1:6" ht="38" customHeight="1">
      <c r="A22" s="4" t="s">
        <v>72</v>
      </c>
      <c r="B22" s="4" t="s">
        <v>11</v>
      </c>
      <c r="C22" s="4" t="s">
        <v>1273</v>
      </c>
      <c r="D22" s="4" t="s">
        <v>1274</v>
      </c>
      <c r="E22" s="4" t="s">
        <v>1261</v>
      </c>
      <c r="F22" s="4" t="s">
        <v>75</v>
      </c>
    </row>
    <row r="23" spans="1:6" ht="38" customHeight="1">
      <c r="A23" s="6" t="s">
        <v>72</v>
      </c>
      <c r="B23" s="6" t="s">
        <v>11</v>
      </c>
      <c r="C23" s="6" t="s">
        <v>1275</v>
      </c>
      <c r="D23" s="6" t="s">
        <v>1276</v>
      </c>
      <c r="E23" s="6" t="s">
        <v>1261</v>
      </c>
      <c r="F23" s="6" t="s">
        <v>75</v>
      </c>
    </row>
    <row r="24" spans="1:6" ht="38" customHeight="1">
      <c r="A24" s="4" t="s">
        <v>76</v>
      </c>
      <c r="B24" s="4" t="s">
        <v>25</v>
      </c>
      <c r="C24" s="4" t="s">
        <v>1259</v>
      </c>
      <c r="D24" s="4" t="s">
        <v>1279</v>
      </c>
      <c r="E24" s="4" t="s">
        <v>1261</v>
      </c>
      <c r="F24" s="4" t="s">
        <v>79</v>
      </c>
    </row>
    <row r="25" spans="1:6" ht="38" customHeight="1">
      <c r="A25" s="6" t="s">
        <v>76</v>
      </c>
      <c r="B25" s="6" t="s">
        <v>25</v>
      </c>
      <c r="C25" s="6" t="s">
        <v>1262</v>
      </c>
      <c r="D25" s="6" t="s">
        <v>969</v>
      </c>
      <c r="E25" s="6" t="s">
        <v>1261</v>
      </c>
      <c r="F25" s="6" t="s">
        <v>79</v>
      </c>
    </row>
    <row r="26" spans="1:6" ht="38" customHeight="1">
      <c r="A26" s="4" t="s">
        <v>76</v>
      </c>
      <c r="B26" s="4" t="s">
        <v>25</v>
      </c>
      <c r="C26" s="4" t="s">
        <v>1263</v>
      </c>
      <c r="D26" s="4" t="s">
        <v>1264</v>
      </c>
      <c r="E26" s="4" t="s">
        <v>1261</v>
      </c>
      <c r="F26" s="4" t="s">
        <v>79</v>
      </c>
    </row>
    <row r="27" spans="1:6" ht="38" customHeight="1">
      <c r="A27" s="6" t="s">
        <v>76</v>
      </c>
      <c r="B27" s="6" t="s">
        <v>25</v>
      </c>
      <c r="C27" s="6" t="s">
        <v>1265</v>
      </c>
      <c r="D27" s="6" t="s">
        <v>1266</v>
      </c>
      <c r="E27" s="6" t="s">
        <v>1261</v>
      </c>
      <c r="F27" s="6" t="s">
        <v>79</v>
      </c>
    </row>
    <row r="28" spans="1:6" ht="38" customHeight="1">
      <c r="A28" s="4" t="s">
        <v>76</v>
      </c>
      <c r="B28" s="4" t="s">
        <v>25</v>
      </c>
      <c r="C28" s="4" t="s">
        <v>1267</v>
      </c>
      <c r="D28" s="4" t="s">
        <v>1268</v>
      </c>
      <c r="E28" s="4" t="s">
        <v>1261</v>
      </c>
      <c r="F28" s="4" t="s">
        <v>79</v>
      </c>
    </row>
    <row r="29" spans="1:6" ht="38" customHeight="1">
      <c r="A29" s="6" t="s">
        <v>76</v>
      </c>
      <c r="B29" s="6" t="s">
        <v>25</v>
      </c>
      <c r="C29" s="6" t="s">
        <v>1269</v>
      </c>
      <c r="D29" s="6" t="s">
        <v>1270</v>
      </c>
      <c r="E29" s="6" t="s">
        <v>1261</v>
      </c>
      <c r="F29" s="6" t="s">
        <v>79</v>
      </c>
    </row>
    <row r="30" spans="1:6" ht="38" customHeight="1">
      <c r="A30" s="4" t="s">
        <v>76</v>
      </c>
      <c r="B30" s="4" t="s">
        <v>25</v>
      </c>
      <c r="C30" s="4" t="s">
        <v>1271</v>
      </c>
      <c r="D30" s="4" t="s">
        <v>1280</v>
      </c>
      <c r="E30" s="4" t="s">
        <v>1261</v>
      </c>
      <c r="F30" s="4" t="s">
        <v>79</v>
      </c>
    </row>
    <row r="31" spans="1:6" ht="38" customHeight="1">
      <c r="A31" s="6" t="s">
        <v>76</v>
      </c>
      <c r="B31" s="6" t="s">
        <v>25</v>
      </c>
      <c r="C31" s="6" t="s">
        <v>1273</v>
      </c>
      <c r="D31" s="6" t="s">
        <v>1274</v>
      </c>
      <c r="E31" s="6" t="s">
        <v>1261</v>
      </c>
      <c r="F31" s="6" t="s">
        <v>79</v>
      </c>
    </row>
    <row r="32" spans="1:6" ht="38" customHeight="1">
      <c r="A32" s="4" t="s">
        <v>76</v>
      </c>
      <c r="B32" s="4" t="s">
        <v>25</v>
      </c>
      <c r="C32" s="4" t="s">
        <v>1275</v>
      </c>
      <c r="D32" s="4" t="s">
        <v>1276</v>
      </c>
      <c r="E32" s="4" t="s">
        <v>1261</v>
      </c>
      <c r="F32" s="4" t="s">
        <v>79</v>
      </c>
    </row>
    <row r="33" spans="1:6" ht="38" customHeight="1">
      <c r="A33" s="6" t="s">
        <v>80</v>
      </c>
      <c r="B33" s="6" t="s">
        <v>18</v>
      </c>
      <c r="C33" s="6" t="s">
        <v>1259</v>
      </c>
      <c r="D33" s="6" t="s">
        <v>1281</v>
      </c>
      <c r="E33" s="6" t="s">
        <v>1261</v>
      </c>
      <c r="F33" s="6" t="s">
        <v>82</v>
      </c>
    </row>
    <row r="34" spans="1:6" ht="38" customHeight="1">
      <c r="A34" s="4" t="s">
        <v>80</v>
      </c>
      <c r="B34" s="4" t="s">
        <v>18</v>
      </c>
      <c r="C34" s="4" t="s">
        <v>1262</v>
      </c>
      <c r="D34" s="4" t="s">
        <v>975</v>
      </c>
      <c r="E34" s="4" t="s">
        <v>1261</v>
      </c>
      <c r="F34" s="4" t="s">
        <v>82</v>
      </c>
    </row>
    <row r="35" spans="1:6" ht="38" customHeight="1">
      <c r="A35" s="6" t="s">
        <v>80</v>
      </c>
      <c r="B35" s="6" t="s">
        <v>18</v>
      </c>
      <c r="C35" s="6" t="s">
        <v>1263</v>
      </c>
      <c r="D35" s="6" t="s">
        <v>1282</v>
      </c>
      <c r="E35" s="6" t="s">
        <v>1261</v>
      </c>
      <c r="F35" s="6" t="s">
        <v>82</v>
      </c>
    </row>
    <row r="36" spans="1:6" ht="38" customHeight="1">
      <c r="A36" s="4" t="s">
        <v>80</v>
      </c>
      <c r="B36" s="4" t="s">
        <v>18</v>
      </c>
      <c r="C36" s="4" t="s">
        <v>1265</v>
      </c>
      <c r="D36" s="4" t="s">
        <v>1283</v>
      </c>
      <c r="E36" s="4" t="s">
        <v>1261</v>
      </c>
      <c r="F36" s="4" t="s">
        <v>82</v>
      </c>
    </row>
    <row r="37" spans="1:6" ht="38" customHeight="1">
      <c r="A37" s="6" t="s">
        <v>80</v>
      </c>
      <c r="B37" s="6" t="s">
        <v>18</v>
      </c>
      <c r="C37" s="6" t="s">
        <v>1267</v>
      </c>
      <c r="D37" s="6" t="s">
        <v>1284</v>
      </c>
      <c r="E37" s="6" t="s">
        <v>1261</v>
      </c>
      <c r="F37" s="6" t="s">
        <v>82</v>
      </c>
    </row>
    <row r="38" spans="1:6" ht="38" customHeight="1">
      <c r="A38" s="4" t="s">
        <v>80</v>
      </c>
      <c r="B38" s="4" t="s">
        <v>18</v>
      </c>
      <c r="C38" s="4" t="s">
        <v>1269</v>
      </c>
      <c r="D38" s="4" t="s">
        <v>1270</v>
      </c>
      <c r="E38" s="4" t="s">
        <v>1261</v>
      </c>
      <c r="F38" s="4" t="s">
        <v>82</v>
      </c>
    </row>
    <row r="39" spans="1:6" ht="38" customHeight="1">
      <c r="A39" s="6" t="s">
        <v>80</v>
      </c>
      <c r="B39" s="6" t="s">
        <v>18</v>
      </c>
      <c r="C39" s="6" t="s">
        <v>1271</v>
      </c>
      <c r="D39" s="6" t="s">
        <v>1285</v>
      </c>
      <c r="E39" s="6" t="s">
        <v>1261</v>
      </c>
      <c r="F39" s="6" t="s">
        <v>82</v>
      </c>
    </row>
    <row r="40" spans="1:6" ht="38" customHeight="1">
      <c r="A40" s="4" t="s">
        <v>80</v>
      </c>
      <c r="B40" s="4" t="s">
        <v>18</v>
      </c>
      <c r="C40" s="4" t="s">
        <v>1273</v>
      </c>
      <c r="D40" s="4" t="s">
        <v>1286</v>
      </c>
      <c r="E40" s="4" t="s">
        <v>1261</v>
      </c>
      <c r="F40" s="4" t="s">
        <v>82</v>
      </c>
    </row>
    <row r="41" spans="1:6" ht="38" customHeight="1">
      <c r="A41" s="6" t="s">
        <v>80</v>
      </c>
      <c r="B41" s="6" t="s">
        <v>18</v>
      </c>
      <c r="C41" s="6" t="s">
        <v>1275</v>
      </c>
      <c r="D41" s="6" t="s">
        <v>1287</v>
      </c>
      <c r="E41" s="6" t="s">
        <v>1261</v>
      </c>
      <c r="F41" s="6" t="s">
        <v>82</v>
      </c>
    </row>
    <row r="42" spans="1:6" ht="38" customHeight="1">
      <c r="A42" s="4" t="s">
        <v>83</v>
      </c>
      <c r="B42" s="4" t="s">
        <v>39</v>
      </c>
      <c r="C42" s="4" t="s">
        <v>1259</v>
      </c>
      <c r="D42" s="4" t="s">
        <v>1288</v>
      </c>
      <c r="E42" s="4" t="s">
        <v>1261</v>
      </c>
      <c r="F42" s="4" t="s">
        <v>85</v>
      </c>
    </row>
    <row r="43" spans="1:6" ht="38" customHeight="1">
      <c r="A43" s="6" t="s">
        <v>83</v>
      </c>
      <c r="B43" s="6" t="s">
        <v>39</v>
      </c>
      <c r="C43" s="6" t="s">
        <v>1262</v>
      </c>
      <c r="D43" s="6" t="s">
        <v>981</v>
      </c>
      <c r="E43" s="6" t="s">
        <v>1261</v>
      </c>
      <c r="F43" s="6" t="s">
        <v>85</v>
      </c>
    </row>
    <row r="44" spans="1:6" ht="38" customHeight="1">
      <c r="A44" s="4" t="s">
        <v>83</v>
      </c>
      <c r="B44" s="4" t="s">
        <v>39</v>
      </c>
      <c r="C44" s="4" t="s">
        <v>1263</v>
      </c>
      <c r="D44" s="4" t="s">
        <v>1289</v>
      </c>
      <c r="E44" s="4" t="s">
        <v>1261</v>
      </c>
      <c r="F44" s="4" t="s">
        <v>85</v>
      </c>
    </row>
    <row r="45" spans="1:6" ht="38" customHeight="1">
      <c r="A45" s="6" t="s">
        <v>83</v>
      </c>
      <c r="B45" s="6" t="s">
        <v>39</v>
      </c>
      <c r="C45" s="6" t="s">
        <v>1265</v>
      </c>
      <c r="D45" s="6" t="s">
        <v>1290</v>
      </c>
      <c r="E45" s="6" t="s">
        <v>1261</v>
      </c>
      <c r="F45" s="6" t="s">
        <v>85</v>
      </c>
    </row>
    <row r="46" spans="1:6" ht="38" customHeight="1">
      <c r="A46" s="4" t="s">
        <v>83</v>
      </c>
      <c r="B46" s="4" t="s">
        <v>39</v>
      </c>
      <c r="C46" s="4" t="s">
        <v>1267</v>
      </c>
      <c r="D46" s="4" t="s">
        <v>1291</v>
      </c>
      <c r="E46" s="4" t="s">
        <v>1261</v>
      </c>
      <c r="F46" s="4" t="s">
        <v>85</v>
      </c>
    </row>
    <row r="47" spans="1:6" ht="38" customHeight="1">
      <c r="A47" s="6" t="s">
        <v>83</v>
      </c>
      <c r="B47" s="6" t="s">
        <v>39</v>
      </c>
      <c r="C47" s="6" t="s">
        <v>1269</v>
      </c>
      <c r="D47" s="6" t="s">
        <v>1292</v>
      </c>
      <c r="E47" s="6" t="s">
        <v>1261</v>
      </c>
      <c r="F47" s="6" t="s">
        <v>85</v>
      </c>
    </row>
    <row r="48" spans="1:6" ht="38" customHeight="1">
      <c r="A48" s="4" t="s">
        <v>83</v>
      </c>
      <c r="B48" s="4" t="s">
        <v>39</v>
      </c>
      <c r="C48" s="4" t="s">
        <v>1271</v>
      </c>
      <c r="D48" s="4" t="s">
        <v>1293</v>
      </c>
      <c r="E48" s="4" t="s">
        <v>1261</v>
      </c>
      <c r="F48" s="4" t="s">
        <v>85</v>
      </c>
    </row>
    <row r="49" spans="1:6" ht="38" customHeight="1">
      <c r="A49" s="6" t="s">
        <v>83</v>
      </c>
      <c r="B49" s="6" t="s">
        <v>39</v>
      </c>
      <c r="C49" s="6" t="s">
        <v>1273</v>
      </c>
      <c r="D49" s="6" t="s">
        <v>1294</v>
      </c>
      <c r="E49" s="6" t="s">
        <v>1261</v>
      </c>
      <c r="F49" s="6" t="s">
        <v>85</v>
      </c>
    </row>
    <row r="50" spans="1:6" ht="38" customHeight="1">
      <c r="A50" s="4" t="s">
        <v>83</v>
      </c>
      <c r="B50" s="4" t="s">
        <v>39</v>
      </c>
      <c r="C50" s="4" t="s">
        <v>1275</v>
      </c>
      <c r="D50" s="4" t="s">
        <v>1295</v>
      </c>
      <c r="E50" s="4" t="s">
        <v>1261</v>
      </c>
      <c r="F50" s="4" t="s">
        <v>85</v>
      </c>
    </row>
    <row r="51" spans="1:6" ht="38" customHeight="1">
      <c r="A51" s="6" t="s">
        <v>86</v>
      </c>
      <c r="B51" s="6" t="s">
        <v>87</v>
      </c>
      <c r="C51" s="6" t="s">
        <v>1259</v>
      </c>
      <c r="D51" s="6" t="s">
        <v>1296</v>
      </c>
      <c r="E51" s="6" t="s">
        <v>1261</v>
      </c>
      <c r="F51" s="6" t="s">
        <v>89</v>
      </c>
    </row>
    <row r="52" spans="1:6" ht="38" customHeight="1">
      <c r="A52" s="4" t="s">
        <v>86</v>
      </c>
      <c r="B52" s="4" t="s">
        <v>87</v>
      </c>
      <c r="C52" s="4" t="s">
        <v>1262</v>
      </c>
      <c r="D52" s="4" t="s">
        <v>986</v>
      </c>
      <c r="E52" s="4" t="s">
        <v>1261</v>
      </c>
      <c r="F52" s="4" t="s">
        <v>89</v>
      </c>
    </row>
    <row r="53" spans="1:6" ht="38" customHeight="1">
      <c r="A53" s="6" t="s">
        <v>86</v>
      </c>
      <c r="B53" s="6" t="s">
        <v>87</v>
      </c>
      <c r="C53" s="6" t="s">
        <v>1263</v>
      </c>
      <c r="D53" s="6" t="s">
        <v>1264</v>
      </c>
      <c r="E53" s="6" t="s">
        <v>1261</v>
      </c>
      <c r="F53" s="6" t="s">
        <v>89</v>
      </c>
    </row>
    <row r="54" spans="1:6" ht="38" customHeight="1">
      <c r="A54" s="4" t="s">
        <v>86</v>
      </c>
      <c r="B54" s="4" t="s">
        <v>87</v>
      </c>
      <c r="C54" s="4" t="s">
        <v>1265</v>
      </c>
      <c r="D54" s="4" t="s">
        <v>1266</v>
      </c>
      <c r="E54" s="4" t="s">
        <v>1261</v>
      </c>
      <c r="F54" s="4" t="s">
        <v>89</v>
      </c>
    </row>
    <row r="55" spans="1:6" ht="38" customHeight="1">
      <c r="A55" s="6" t="s">
        <v>86</v>
      </c>
      <c r="B55" s="6" t="s">
        <v>87</v>
      </c>
      <c r="C55" s="6" t="s">
        <v>1267</v>
      </c>
      <c r="D55" s="6" t="s">
        <v>1268</v>
      </c>
      <c r="E55" s="6" t="s">
        <v>1261</v>
      </c>
      <c r="F55" s="6" t="s">
        <v>89</v>
      </c>
    </row>
    <row r="56" spans="1:6" ht="38" customHeight="1">
      <c r="A56" s="4" t="s">
        <v>86</v>
      </c>
      <c r="B56" s="4" t="s">
        <v>87</v>
      </c>
      <c r="C56" s="4" t="s">
        <v>1269</v>
      </c>
      <c r="D56" s="4" t="s">
        <v>1270</v>
      </c>
      <c r="E56" s="4" t="s">
        <v>1261</v>
      </c>
      <c r="F56" s="4" t="s">
        <v>89</v>
      </c>
    </row>
    <row r="57" spans="1:6" ht="38" customHeight="1">
      <c r="A57" s="6" t="s">
        <v>86</v>
      </c>
      <c r="B57" s="6" t="s">
        <v>87</v>
      </c>
      <c r="C57" s="6" t="s">
        <v>1271</v>
      </c>
      <c r="D57" s="6" t="s">
        <v>1297</v>
      </c>
      <c r="E57" s="6" t="s">
        <v>1261</v>
      </c>
      <c r="F57" s="6" t="s">
        <v>89</v>
      </c>
    </row>
    <row r="58" spans="1:6" ht="38" customHeight="1">
      <c r="A58" s="4" t="s">
        <v>86</v>
      </c>
      <c r="B58" s="4" t="s">
        <v>87</v>
      </c>
      <c r="C58" s="4" t="s">
        <v>1273</v>
      </c>
      <c r="D58" s="4" t="s">
        <v>1274</v>
      </c>
      <c r="E58" s="4" t="s">
        <v>1261</v>
      </c>
      <c r="F58" s="4" t="s">
        <v>89</v>
      </c>
    </row>
    <row r="59" spans="1:6" ht="38" customHeight="1">
      <c r="A59" s="6" t="s">
        <v>86</v>
      </c>
      <c r="B59" s="6" t="s">
        <v>87</v>
      </c>
      <c r="C59" s="6" t="s">
        <v>1275</v>
      </c>
      <c r="D59" s="6" t="s">
        <v>1276</v>
      </c>
      <c r="E59" s="6" t="s">
        <v>1261</v>
      </c>
      <c r="F59" s="6" t="s">
        <v>89</v>
      </c>
    </row>
    <row r="60" spans="1:6" ht="38" customHeight="1">
      <c r="A60" s="4" t="s">
        <v>90</v>
      </c>
      <c r="B60" s="4" t="s">
        <v>91</v>
      </c>
      <c r="C60" s="4" t="s">
        <v>1259</v>
      </c>
      <c r="D60" s="4" t="s">
        <v>1298</v>
      </c>
      <c r="E60" s="4" t="s">
        <v>1261</v>
      </c>
      <c r="F60" s="4" t="s">
        <v>93</v>
      </c>
    </row>
    <row r="61" spans="1:6" ht="38" customHeight="1">
      <c r="A61" s="6" t="s">
        <v>90</v>
      </c>
      <c r="B61" s="6" t="s">
        <v>91</v>
      </c>
      <c r="C61" s="6" t="s">
        <v>1262</v>
      </c>
      <c r="D61" s="6" t="s">
        <v>991</v>
      </c>
      <c r="E61" s="6" t="s">
        <v>1261</v>
      </c>
      <c r="F61" s="6" t="s">
        <v>93</v>
      </c>
    </row>
    <row r="62" spans="1:6" ht="38" customHeight="1">
      <c r="A62" s="4" t="s">
        <v>90</v>
      </c>
      <c r="B62" s="4" t="s">
        <v>91</v>
      </c>
      <c r="C62" s="4" t="s">
        <v>1263</v>
      </c>
      <c r="D62" s="4" t="s">
        <v>1264</v>
      </c>
      <c r="E62" s="4" t="s">
        <v>1261</v>
      </c>
      <c r="F62" s="4" t="s">
        <v>93</v>
      </c>
    </row>
    <row r="63" spans="1:6" ht="38" customHeight="1">
      <c r="A63" s="6" t="s">
        <v>90</v>
      </c>
      <c r="B63" s="6" t="s">
        <v>91</v>
      </c>
      <c r="C63" s="6" t="s">
        <v>1265</v>
      </c>
      <c r="D63" s="6" t="s">
        <v>1266</v>
      </c>
      <c r="E63" s="6" t="s">
        <v>1261</v>
      </c>
      <c r="F63" s="6" t="s">
        <v>93</v>
      </c>
    </row>
    <row r="64" spans="1:6" ht="38" customHeight="1">
      <c r="A64" s="4" t="s">
        <v>90</v>
      </c>
      <c r="B64" s="4" t="s">
        <v>91</v>
      </c>
      <c r="C64" s="4" t="s">
        <v>1267</v>
      </c>
      <c r="D64" s="4" t="s">
        <v>1299</v>
      </c>
      <c r="E64" s="4" t="s">
        <v>1261</v>
      </c>
      <c r="F64" s="4" t="s">
        <v>93</v>
      </c>
    </row>
    <row r="65" spans="1:6" ht="38" customHeight="1">
      <c r="A65" s="6" t="s">
        <v>90</v>
      </c>
      <c r="B65" s="6" t="s">
        <v>91</v>
      </c>
      <c r="C65" s="6" t="s">
        <v>1269</v>
      </c>
      <c r="D65" s="6" t="s">
        <v>1300</v>
      </c>
      <c r="E65" s="6" t="s">
        <v>1261</v>
      </c>
      <c r="F65" s="6" t="s">
        <v>93</v>
      </c>
    </row>
    <row r="66" spans="1:6" ht="38" customHeight="1">
      <c r="A66" s="4" t="s">
        <v>90</v>
      </c>
      <c r="B66" s="4" t="s">
        <v>91</v>
      </c>
      <c r="C66" s="4" t="s">
        <v>1271</v>
      </c>
      <c r="D66" s="4" t="s">
        <v>1301</v>
      </c>
      <c r="E66" s="4" t="s">
        <v>1261</v>
      </c>
      <c r="F66" s="4" t="s">
        <v>93</v>
      </c>
    </row>
    <row r="67" spans="1:6" ht="38" customHeight="1">
      <c r="A67" s="6" t="s">
        <v>90</v>
      </c>
      <c r="B67" s="6" t="s">
        <v>91</v>
      </c>
      <c r="C67" s="6" t="s">
        <v>1273</v>
      </c>
      <c r="D67" s="6" t="s">
        <v>1302</v>
      </c>
      <c r="E67" s="6" t="s">
        <v>1261</v>
      </c>
      <c r="F67" s="6" t="s">
        <v>93</v>
      </c>
    </row>
    <row r="68" spans="1:6" ht="38" customHeight="1">
      <c r="A68" s="4" t="s">
        <v>90</v>
      </c>
      <c r="B68" s="4" t="s">
        <v>91</v>
      </c>
      <c r="C68" s="4" t="s">
        <v>1275</v>
      </c>
      <c r="D68" s="4" t="s">
        <v>1303</v>
      </c>
      <c r="E68" s="4" t="s">
        <v>1261</v>
      </c>
      <c r="F68" s="4" t="s">
        <v>93</v>
      </c>
    </row>
    <row r="69" spans="1:6" ht="38" customHeight="1">
      <c r="A69" s="6" t="s">
        <v>94</v>
      </c>
      <c r="B69" s="6" t="s">
        <v>95</v>
      </c>
      <c r="C69" s="6" t="s">
        <v>1259</v>
      </c>
      <c r="D69" s="6" t="s">
        <v>1304</v>
      </c>
      <c r="E69" s="6" t="s">
        <v>1261</v>
      </c>
      <c r="F69" s="6" t="s">
        <v>97</v>
      </c>
    </row>
    <row r="70" spans="1:6" ht="38" customHeight="1">
      <c r="A70" s="4" t="s">
        <v>94</v>
      </c>
      <c r="B70" s="4" t="s">
        <v>95</v>
      </c>
      <c r="C70" s="4" t="s">
        <v>1262</v>
      </c>
      <c r="D70" s="4" t="s">
        <v>997</v>
      </c>
      <c r="E70" s="4" t="s">
        <v>1261</v>
      </c>
      <c r="F70" s="4" t="s">
        <v>97</v>
      </c>
    </row>
    <row r="71" spans="1:6" ht="38" customHeight="1">
      <c r="A71" s="6" t="s">
        <v>94</v>
      </c>
      <c r="B71" s="6" t="s">
        <v>95</v>
      </c>
      <c r="C71" s="6" t="s">
        <v>1263</v>
      </c>
      <c r="D71" s="6" t="s">
        <v>1264</v>
      </c>
      <c r="E71" s="6" t="s">
        <v>1261</v>
      </c>
      <c r="F71" s="6" t="s">
        <v>97</v>
      </c>
    </row>
    <row r="72" spans="1:6" ht="38" customHeight="1">
      <c r="A72" s="4" t="s">
        <v>94</v>
      </c>
      <c r="B72" s="4" t="s">
        <v>95</v>
      </c>
      <c r="C72" s="4" t="s">
        <v>1265</v>
      </c>
      <c r="D72" s="4" t="s">
        <v>1266</v>
      </c>
      <c r="E72" s="4" t="s">
        <v>1261</v>
      </c>
      <c r="F72" s="4" t="s">
        <v>97</v>
      </c>
    </row>
    <row r="73" spans="1:6" ht="38" customHeight="1">
      <c r="A73" s="6" t="s">
        <v>94</v>
      </c>
      <c r="B73" s="6" t="s">
        <v>95</v>
      </c>
      <c r="C73" s="6" t="s">
        <v>1267</v>
      </c>
      <c r="D73" s="6" t="s">
        <v>1268</v>
      </c>
      <c r="E73" s="6" t="s">
        <v>1261</v>
      </c>
      <c r="F73" s="6" t="s">
        <v>97</v>
      </c>
    </row>
    <row r="74" spans="1:6" ht="38" customHeight="1">
      <c r="A74" s="4" t="s">
        <v>94</v>
      </c>
      <c r="B74" s="4" t="s">
        <v>95</v>
      </c>
      <c r="C74" s="4" t="s">
        <v>1269</v>
      </c>
      <c r="D74" s="4" t="s">
        <v>1270</v>
      </c>
      <c r="E74" s="4" t="s">
        <v>1261</v>
      </c>
      <c r="F74" s="4" t="s">
        <v>97</v>
      </c>
    </row>
    <row r="75" spans="1:6" ht="38" customHeight="1">
      <c r="A75" s="6" t="s">
        <v>94</v>
      </c>
      <c r="B75" s="6" t="s">
        <v>95</v>
      </c>
      <c r="C75" s="6" t="s">
        <v>1271</v>
      </c>
      <c r="D75" s="6" t="s">
        <v>1305</v>
      </c>
      <c r="E75" s="6" t="s">
        <v>1261</v>
      </c>
      <c r="F75" s="6" t="s">
        <v>97</v>
      </c>
    </row>
    <row r="76" spans="1:6" ht="38" customHeight="1">
      <c r="A76" s="4" t="s">
        <v>94</v>
      </c>
      <c r="B76" s="4" t="s">
        <v>95</v>
      </c>
      <c r="C76" s="4" t="s">
        <v>1273</v>
      </c>
      <c r="D76" s="4" t="s">
        <v>1274</v>
      </c>
      <c r="E76" s="4" t="s">
        <v>1261</v>
      </c>
      <c r="F76" s="4" t="s">
        <v>97</v>
      </c>
    </row>
    <row r="77" spans="1:6" ht="38" customHeight="1">
      <c r="A77" s="6" t="s">
        <v>94</v>
      </c>
      <c r="B77" s="6" t="s">
        <v>95</v>
      </c>
      <c r="C77" s="6" t="s">
        <v>1275</v>
      </c>
      <c r="D77" s="6" t="s">
        <v>1276</v>
      </c>
      <c r="E77" s="6" t="s">
        <v>1261</v>
      </c>
      <c r="F77" s="6" t="s">
        <v>97</v>
      </c>
    </row>
    <row r="78" spans="1:6" ht="38" customHeight="1">
      <c r="A78" s="4" t="s">
        <v>98</v>
      </c>
      <c r="B78" s="4" t="s">
        <v>99</v>
      </c>
      <c r="C78" s="4" t="s">
        <v>1259</v>
      </c>
      <c r="D78" s="4" t="s">
        <v>1306</v>
      </c>
      <c r="E78" s="4" t="s">
        <v>1261</v>
      </c>
      <c r="F78" s="4" t="s">
        <v>100</v>
      </c>
    </row>
    <row r="79" spans="1:6" ht="38" customHeight="1">
      <c r="A79" s="6" t="s">
        <v>98</v>
      </c>
      <c r="B79" s="6" t="s">
        <v>99</v>
      </c>
      <c r="C79" s="6" t="s">
        <v>1262</v>
      </c>
      <c r="D79" s="6" t="s">
        <v>1002</v>
      </c>
      <c r="E79" s="6" t="s">
        <v>1261</v>
      </c>
      <c r="F79" s="6" t="s">
        <v>100</v>
      </c>
    </row>
    <row r="80" spans="1:6" ht="38" customHeight="1">
      <c r="A80" s="4" t="s">
        <v>98</v>
      </c>
      <c r="B80" s="4" t="s">
        <v>99</v>
      </c>
      <c r="C80" s="4" t="s">
        <v>1263</v>
      </c>
      <c r="D80" s="4" t="s">
        <v>1264</v>
      </c>
      <c r="E80" s="4" t="s">
        <v>1261</v>
      </c>
      <c r="F80" s="4" t="s">
        <v>100</v>
      </c>
    </row>
    <row r="81" spans="1:6" ht="38" customHeight="1">
      <c r="A81" s="6" t="s">
        <v>98</v>
      </c>
      <c r="B81" s="6" t="s">
        <v>99</v>
      </c>
      <c r="C81" s="6" t="s">
        <v>1265</v>
      </c>
      <c r="D81" s="6" t="s">
        <v>1266</v>
      </c>
      <c r="E81" s="6" t="s">
        <v>1261</v>
      </c>
      <c r="F81" s="6" t="s">
        <v>100</v>
      </c>
    </row>
    <row r="82" spans="1:6" ht="38" customHeight="1">
      <c r="A82" s="4" t="s">
        <v>98</v>
      </c>
      <c r="B82" s="4" t="s">
        <v>99</v>
      </c>
      <c r="C82" s="4" t="s">
        <v>1267</v>
      </c>
      <c r="D82" s="4" t="s">
        <v>1268</v>
      </c>
      <c r="E82" s="4" t="s">
        <v>1261</v>
      </c>
      <c r="F82" s="4" t="s">
        <v>100</v>
      </c>
    </row>
    <row r="83" spans="1:6" ht="38" customHeight="1">
      <c r="A83" s="6" t="s">
        <v>98</v>
      </c>
      <c r="B83" s="6" t="s">
        <v>99</v>
      </c>
      <c r="C83" s="6" t="s">
        <v>1269</v>
      </c>
      <c r="D83" s="6" t="s">
        <v>1270</v>
      </c>
      <c r="E83" s="6" t="s">
        <v>1261</v>
      </c>
      <c r="F83" s="6" t="s">
        <v>100</v>
      </c>
    </row>
    <row r="84" spans="1:6" ht="38" customHeight="1">
      <c r="A84" s="4" t="s">
        <v>98</v>
      </c>
      <c r="B84" s="4" t="s">
        <v>99</v>
      </c>
      <c r="C84" s="4" t="s">
        <v>1271</v>
      </c>
      <c r="D84" s="4" t="s">
        <v>1307</v>
      </c>
      <c r="E84" s="4" t="s">
        <v>1261</v>
      </c>
      <c r="F84" s="4" t="s">
        <v>100</v>
      </c>
    </row>
    <row r="85" spans="1:6" ht="38" customHeight="1">
      <c r="A85" s="6" t="s">
        <v>98</v>
      </c>
      <c r="B85" s="6" t="s">
        <v>99</v>
      </c>
      <c r="C85" s="6" t="s">
        <v>1273</v>
      </c>
      <c r="D85" s="6" t="s">
        <v>1274</v>
      </c>
      <c r="E85" s="6" t="s">
        <v>1261</v>
      </c>
      <c r="F85" s="6" t="s">
        <v>100</v>
      </c>
    </row>
    <row r="86" spans="1:6" ht="38" customHeight="1">
      <c r="A86" s="4" t="s">
        <v>98</v>
      </c>
      <c r="B86" s="4" t="s">
        <v>99</v>
      </c>
      <c r="C86" s="4" t="s">
        <v>1275</v>
      </c>
      <c r="D86" s="4" t="s">
        <v>1276</v>
      </c>
      <c r="E86" s="4" t="s">
        <v>1261</v>
      </c>
      <c r="F86" s="4" t="s">
        <v>100</v>
      </c>
    </row>
    <row r="87" spans="1:6" ht="38" customHeight="1">
      <c r="A87" s="6" t="s">
        <v>101</v>
      </c>
      <c r="B87" s="6" t="s">
        <v>102</v>
      </c>
      <c r="C87" s="6" t="s">
        <v>1259</v>
      </c>
      <c r="D87" s="6" t="s">
        <v>1308</v>
      </c>
      <c r="E87" s="6" t="s">
        <v>1261</v>
      </c>
      <c r="F87" s="6" t="s">
        <v>104</v>
      </c>
    </row>
    <row r="88" spans="1:6" ht="38" customHeight="1">
      <c r="A88" s="4" t="s">
        <v>101</v>
      </c>
      <c r="B88" s="4" t="s">
        <v>102</v>
      </c>
      <c r="C88" s="4" t="s">
        <v>1262</v>
      </c>
      <c r="D88" s="4" t="s">
        <v>1006</v>
      </c>
      <c r="E88" s="4" t="s">
        <v>1261</v>
      </c>
      <c r="F88" s="4" t="s">
        <v>104</v>
      </c>
    </row>
    <row r="89" spans="1:6" ht="38" customHeight="1">
      <c r="A89" s="6" t="s">
        <v>101</v>
      </c>
      <c r="B89" s="6" t="s">
        <v>102</v>
      </c>
      <c r="C89" s="6" t="s">
        <v>1263</v>
      </c>
      <c r="D89" s="6" t="s">
        <v>1264</v>
      </c>
      <c r="E89" s="6" t="s">
        <v>1261</v>
      </c>
      <c r="F89" s="6" t="s">
        <v>104</v>
      </c>
    </row>
    <row r="90" spans="1:6" ht="38" customHeight="1">
      <c r="A90" s="4" t="s">
        <v>101</v>
      </c>
      <c r="B90" s="4" t="s">
        <v>102</v>
      </c>
      <c r="C90" s="4" t="s">
        <v>1265</v>
      </c>
      <c r="D90" s="4" t="s">
        <v>1266</v>
      </c>
      <c r="E90" s="4" t="s">
        <v>1261</v>
      </c>
      <c r="F90" s="4" t="s">
        <v>104</v>
      </c>
    </row>
    <row r="91" spans="1:6" ht="38" customHeight="1">
      <c r="A91" s="6" t="s">
        <v>101</v>
      </c>
      <c r="B91" s="6" t="s">
        <v>102</v>
      </c>
      <c r="C91" s="6" t="s">
        <v>1267</v>
      </c>
      <c r="D91" s="6" t="s">
        <v>1268</v>
      </c>
      <c r="E91" s="6" t="s">
        <v>1261</v>
      </c>
      <c r="F91" s="6" t="s">
        <v>104</v>
      </c>
    </row>
    <row r="92" spans="1:6" ht="38" customHeight="1">
      <c r="A92" s="4" t="s">
        <v>101</v>
      </c>
      <c r="B92" s="4" t="s">
        <v>102</v>
      </c>
      <c r="C92" s="4" t="s">
        <v>1269</v>
      </c>
      <c r="D92" s="4" t="s">
        <v>1270</v>
      </c>
      <c r="E92" s="4" t="s">
        <v>1261</v>
      </c>
      <c r="F92" s="4" t="s">
        <v>104</v>
      </c>
    </row>
    <row r="93" spans="1:6" ht="38" customHeight="1">
      <c r="A93" s="6" t="s">
        <v>101</v>
      </c>
      <c r="B93" s="6" t="s">
        <v>102</v>
      </c>
      <c r="C93" s="6" t="s">
        <v>1271</v>
      </c>
      <c r="D93" s="6" t="s">
        <v>1307</v>
      </c>
      <c r="E93" s="6" t="s">
        <v>1261</v>
      </c>
      <c r="F93" s="6" t="s">
        <v>104</v>
      </c>
    </row>
    <row r="94" spans="1:6" ht="38" customHeight="1">
      <c r="A94" s="4" t="s">
        <v>101</v>
      </c>
      <c r="B94" s="4" t="s">
        <v>102</v>
      </c>
      <c r="C94" s="4" t="s">
        <v>1273</v>
      </c>
      <c r="D94" s="4" t="s">
        <v>1274</v>
      </c>
      <c r="E94" s="4" t="s">
        <v>1261</v>
      </c>
      <c r="F94" s="4" t="s">
        <v>104</v>
      </c>
    </row>
    <row r="95" spans="1:6" ht="38" customHeight="1">
      <c r="A95" s="6" t="s">
        <v>101</v>
      </c>
      <c r="B95" s="6" t="s">
        <v>102</v>
      </c>
      <c r="C95" s="6" t="s">
        <v>1275</v>
      </c>
      <c r="D95" s="6" t="s">
        <v>1276</v>
      </c>
      <c r="E95" s="6" t="s">
        <v>1261</v>
      </c>
      <c r="F95" s="6" t="s">
        <v>104</v>
      </c>
    </row>
    <row r="96" spans="1:6" ht="38" customHeight="1">
      <c r="A96" s="4" t="s">
        <v>105</v>
      </c>
      <c r="B96" s="4" t="s">
        <v>106</v>
      </c>
      <c r="C96" s="4" t="s">
        <v>1259</v>
      </c>
      <c r="D96" s="4" t="s">
        <v>1309</v>
      </c>
      <c r="E96" s="4" t="s">
        <v>1261</v>
      </c>
      <c r="F96" s="4" t="s">
        <v>107</v>
      </c>
    </row>
    <row r="97" spans="1:6" ht="38" customHeight="1">
      <c r="A97" s="6" t="s">
        <v>105</v>
      </c>
      <c r="B97" s="6" t="s">
        <v>106</v>
      </c>
      <c r="C97" s="6" t="s">
        <v>1262</v>
      </c>
      <c r="D97" s="6" t="s">
        <v>1010</v>
      </c>
      <c r="E97" s="6" t="s">
        <v>1261</v>
      </c>
      <c r="F97" s="6" t="s">
        <v>107</v>
      </c>
    </row>
    <row r="98" spans="1:6" ht="38" customHeight="1">
      <c r="A98" s="4" t="s">
        <v>105</v>
      </c>
      <c r="B98" s="4" t="s">
        <v>106</v>
      </c>
      <c r="C98" s="4" t="s">
        <v>1263</v>
      </c>
      <c r="D98" s="4" t="s">
        <v>1264</v>
      </c>
      <c r="E98" s="4" t="s">
        <v>1261</v>
      </c>
      <c r="F98" s="4" t="s">
        <v>107</v>
      </c>
    </row>
    <row r="99" spans="1:6" ht="38" customHeight="1">
      <c r="A99" s="6" t="s">
        <v>105</v>
      </c>
      <c r="B99" s="6" t="s">
        <v>106</v>
      </c>
      <c r="C99" s="6" t="s">
        <v>1265</v>
      </c>
      <c r="D99" s="6" t="s">
        <v>1266</v>
      </c>
      <c r="E99" s="6" t="s">
        <v>1261</v>
      </c>
      <c r="F99" s="6" t="s">
        <v>107</v>
      </c>
    </row>
    <row r="100" spans="1:6" ht="38" customHeight="1">
      <c r="A100" s="4" t="s">
        <v>105</v>
      </c>
      <c r="B100" s="4" t="s">
        <v>106</v>
      </c>
      <c r="C100" s="4" t="s">
        <v>1267</v>
      </c>
      <c r="D100" s="4" t="s">
        <v>1268</v>
      </c>
      <c r="E100" s="4" t="s">
        <v>1261</v>
      </c>
      <c r="F100" s="4" t="s">
        <v>107</v>
      </c>
    </row>
    <row r="101" spans="1:6" ht="38" customHeight="1">
      <c r="A101" s="6" t="s">
        <v>105</v>
      </c>
      <c r="B101" s="6" t="s">
        <v>106</v>
      </c>
      <c r="C101" s="6" t="s">
        <v>1269</v>
      </c>
      <c r="D101" s="6" t="s">
        <v>1270</v>
      </c>
      <c r="E101" s="6" t="s">
        <v>1261</v>
      </c>
      <c r="F101" s="6" t="s">
        <v>107</v>
      </c>
    </row>
    <row r="102" spans="1:6" ht="38" customHeight="1">
      <c r="A102" s="4" t="s">
        <v>105</v>
      </c>
      <c r="B102" s="4" t="s">
        <v>106</v>
      </c>
      <c r="C102" s="4" t="s">
        <v>1271</v>
      </c>
      <c r="D102" s="4" t="s">
        <v>1307</v>
      </c>
      <c r="E102" s="4" t="s">
        <v>1261</v>
      </c>
      <c r="F102" s="4" t="s">
        <v>107</v>
      </c>
    </row>
    <row r="103" spans="1:6" ht="38" customHeight="1">
      <c r="A103" s="6" t="s">
        <v>105</v>
      </c>
      <c r="B103" s="6" t="s">
        <v>106</v>
      </c>
      <c r="C103" s="6" t="s">
        <v>1273</v>
      </c>
      <c r="D103" s="6" t="s">
        <v>1274</v>
      </c>
      <c r="E103" s="6" t="s">
        <v>1261</v>
      </c>
      <c r="F103" s="6" t="s">
        <v>107</v>
      </c>
    </row>
    <row r="104" spans="1:6" ht="38" customHeight="1">
      <c r="A104" s="4" t="s">
        <v>105</v>
      </c>
      <c r="B104" s="4" t="s">
        <v>106</v>
      </c>
      <c r="C104" s="4" t="s">
        <v>1275</v>
      </c>
      <c r="D104" s="4" t="s">
        <v>1276</v>
      </c>
      <c r="E104" s="4" t="s">
        <v>1261</v>
      </c>
      <c r="F104" s="4" t="s">
        <v>107</v>
      </c>
    </row>
    <row r="105" spans="1:6" ht="38" customHeight="1">
      <c r="A105" s="6" t="s">
        <v>108</v>
      </c>
      <c r="B105" s="6" t="s">
        <v>109</v>
      </c>
      <c r="C105" s="6" t="s">
        <v>1259</v>
      </c>
      <c r="D105" s="6" t="s">
        <v>1310</v>
      </c>
      <c r="E105" s="6" t="s">
        <v>1261</v>
      </c>
      <c r="F105" s="6" t="s">
        <v>110</v>
      </c>
    </row>
    <row r="106" spans="1:6" ht="38" customHeight="1">
      <c r="A106" s="4" t="s">
        <v>108</v>
      </c>
      <c r="B106" s="4" t="s">
        <v>109</v>
      </c>
      <c r="C106" s="4" t="s">
        <v>1262</v>
      </c>
      <c r="D106" s="4" t="s">
        <v>1014</v>
      </c>
      <c r="E106" s="4" t="s">
        <v>1261</v>
      </c>
      <c r="F106" s="4" t="s">
        <v>110</v>
      </c>
    </row>
    <row r="107" spans="1:6" ht="38" customHeight="1">
      <c r="A107" s="6" t="s">
        <v>108</v>
      </c>
      <c r="B107" s="6" t="s">
        <v>109</v>
      </c>
      <c r="C107" s="6" t="s">
        <v>1263</v>
      </c>
      <c r="D107" s="6" t="s">
        <v>1264</v>
      </c>
      <c r="E107" s="6" t="s">
        <v>1261</v>
      </c>
      <c r="F107" s="6" t="s">
        <v>110</v>
      </c>
    </row>
    <row r="108" spans="1:6" ht="38" customHeight="1">
      <c r="A108" s="4" t="s">
        <v>108</v>
      </c>
      <c r="B108" s="4" t="s">
        <v>109</v>
      </c>
      <c r="C108" s="4" t="s">
        <v>1265</v>
      </c>
      <c r="D108" s="4" t="s">
        <v>1266</v>
      </c>
      <c r="E108" s="4" t="s">
        <v>1261</v>
      </c>
      <c r="F108" s="4" t="s">
        <v>110</v>
      </c>
    </row>
    <row r="109" spans="1:6" ht="38" customHeight="1">
      <c r="A109" s="6" t="s">
        <v>108</v>
      </c>
      <c r="B109" s="6" t="s">
        <v>109</v>
      </c>
      <c r="C109" s="6" t="s">
        <v>1267</v>
      </c>
      <c r="D109" s="6" t="s">
        <v>1268</v>
      </c>
      <c r="E109" s="6" t="s">
        <v>1261</v>
      </c>
      <c r="F109" s="6" t="s">
        <v>110</v>
      </c>
    </row>
    <row r="110" spans="1:6" ht="38" customHeight="1">
      <c r="A110" s="4" t="s">
        <v>108</v>
      </c>
      <c r="B110" s="4" t="s">
        <v>109</v>
      </c>
      <c r="C110" s="4" t="s">
        <v>1269</v>
      </c>
      <c r="D110" s="4" t="s">
        <v>1270</v>
      </c>
      <c r="E110" s="4" t="s">
        <v>1261</v>
      </c>
      <c r="F110" s="4" t="s">
        <v>110</v>
      </c>
    </row>
    <row r="111" spans="1:6" ht="38" customHeight="1">
      <c r="A111" s="6" t="s">
        <v>108</v>
      </c>
      <c r="B111" s="6" t="s">
        <v>109</v>
      </c>
      <c r="C111" s="6" t="s">
        <v>1271</v>
      </c>
      <c r="D111" s="6" t="s">
        <v>1311</v>
      </c>
      <c r="E111" s="6" t="s">
        <v>1261</v>
      </c>
      <c r="F111" s="6" t="s">
        <v>110</v>
      </c>
    </row>
    <row r="112" spans="1:6" ht="38" customHeight="1">
      <c r="A112" s="4" t="s">
        <v>108</v>
      </c>
      <c r="B112" s="4" t="s">
        <v>109</v>
      </c>
      <c r="C112" s="4" t="s">
        <v>1273</v>
      </c>
      <c r="D112" s="4" t="s">
        <v>1274</v>
      </c>
      <c r="E112" s="4" t="s">
        <v>1261</v>
      </c>
      <c r="F112" s="4" t="s">
        <v>110</v>
      </c>
    </row>
    <row r="113" spans="1:6" ht="38" customHeight="1">
      <c r="A113" s="6" t="s">
        <v>108</v>
      </c>
      <c r="B113" s="6" t="s">
        <v>109</v>
      </c>
      <c r="C113" s="6" t="s">
        <v>1275</v>
      </c>
      <c r="D113" s="6" t="s">
        <v>1276</v>
      </c>
      <c r="E113" s="6" t="s">
        <v>1261</v>
      </c>
      <c r="F113" s="6" t="s">
        <v>110</v>
      </c>
    </row>
    <row r="114" spans="1:6" ht="38" customHeight="1">
      <c r="A114" s="4" t="s">
        <v>111</v>
      </c>
      <c r="B114" s="4" t="s">
        <v>112</v>
      </c>
      <c r="C114" s="4" t="s">
        <v>1259</v>
      </c>
      <c r="D114" s="4" t="s">
        <v>1312</v>
      </c>
      <c r="E114" s="4" t="s">
        <v>1261</v>
      </c>
      <c r="F114" s="4" t="s">
        <v>113</v>
      </c>
    </row>
    <row r="115" spans="1:6" ht="38" customHeight="1">
      <c r="A115" s="6" t="s">
        <v>111</v>
      </c>
      <c r="B115" s="6" t="s">
        <v>112</v>
      </c>
      <c r="C115" s="6" t="s">
        <v>1262</v>
      </c>
      <c r="D115" s="6" t="s">
        <v>1019</v>
      </c>
      <c r="E115" s="6" t="s">
        <v>1261</v>
      </c>
      <c r="F115" s="6" t="s">
        <v>113</v>
      </c>
    </row>
    <row r="116" spans="1:6" ht="38" customHeight="1">
      <c r="A116" s="4" t="s">
        <v>111</v>
      </c>
      <c r="B116" s="4" t="s">
        <v>112</v>
      </c>
      <c r="C116" s="4" t="s">
        <v>1263</v>
      </c>
      <c r="D116" s="4" t="s">
        <v>1264</v>
      </c>
      <c r="E116" s="4" t="s">
        <v>1261</v>
      </c>
      <c r="F116" s="4" t="s">
        <v>113</v>
      </c>
    </row>
    <row r="117" spans="1:6" ht="38" customHeight="1">
      <c r="A117" s="6" t="s">
        <v>111</v>
      </c>
      <c r="B117" s="6" t="s">
        <v>112</v>
      </c>
      <c r="C117" s="6" t="s">
        <v>1265</v>
      </c>
      <c r="D117" s="6" t="s">
        <v>1266</v>
      </c>
      <c r="E117" s="6" t="s">
        <v>1261</v>
      </c>
      <c r="F117" s="6" t="s">
        <v>113</v>
      </c>
    </row>
    <row r="118" spans="1:6" ht="38" customHeight="1">
      <c r="A118" s="4" t="s">
        <v>111</v>
      </c>
      <c r="B118" s="4" t="s">
        <v>112</v>
      </c>
      <c r="C118" s="4" t="s">
        <v>1267</v>
      </c>
      <c r="D118" s="4" t="s">
        <v>1268</v>
      </c>
      <c r="E118" s="4" t="s">
        <v>1261</v>
      </c>
      <c r="F118" s="4" t="s">
        <v>113</v>
      </c>
    </row>
    <row r="119" spans="1:6" ht="38" customHeight="1">
      <c r="A119" s="6" t="s">
        <v>111</v>
      </c>
      <c r="B119" s="6" t="s">
        <v>112</v>
      </c>
      <c r="C119" s="6" t="s">
        <v>1269</v>
      </c>
      <c r="D119" s="6" t="s">
        <v>1270</v>
      </c>
      <c r="E119" s="6" t="s">
        <v>1261</v>
      </c>
      <c r="F119" s="6" t="s">
        <v>113</v>
      </c>
    </row>
    <row r="120" spans="1:6" ht="38" customHeight="1">
      <c r="A120" s="4" t="s">
        <v>111</v>
      </c>
      <c r="B120" s="4" t="s">
        <v>112</v>
      </c>
      <c r="C120" s="4" t="s">
        <v>1271</v>
      </c>
      <c r="D120" s="4" t="s">
        <v>1307</v>
      </c>
      <c r="E120" s="4" t="s">
        <v>1261</v>
      </c>
      <c r="F120" s="4" t="s">
        <v>113</v>
      </c>
    </row>
    <row r="121" spans="1:6" ht="38" customHeight="1">
      <c r="A121" s="6" t="s">
        <v>111</v>
      </c>
      <c r="B121" s="6" t="s">
        <v>112</v>
      </c>
      <c r="C121" s="6" t="s">
        <v>1273</v>
      </c>
      <c r="D121" s="6" t="s">
        <v>1274</v>
      </c>
      <c r="E121" s="6" t="s">
        <v>1261</v>
      </c>
      <c r="F121" s="6" t="s">
        <v>113</v>
      </c>
    </row>
    <row r="122" spans="1:6" ht="38" customHeight="1">
      <c r="A122" s="4" t="s">
        <v>111</v>
      </c>
      <c r="B122" s="4" t="s">
        <v>112</v>
      </c>
      <c r="C122" s="4" t="s">
        <v>1275</v>
      </c>
      <c r="D122" s="4" t="s">
        <v>1276</v>
      </c>
      <c r="E122" s="4" t="s">
        <v>1261</v>
      </c>
      <c r="F122" s="4" t="s">
        <v>113</v>
      </c>
    </row>
    <row r="123" spans="1:6" ht="38" customHeight="1">
      <c r="A123" s="6" t="s">
        <v>114</v>
      </c>
      <c r="B123" s="6" t="s">
        <v>115</v>
      </c>
      <c r="C123" s="6" t="s">
        <v>1259</v>
      </c>
      <c r="D123" s="6" t="s">
        <v>1313</v>
      </c>
      <c r="E123" s="6" t="s">
        <v>1261</v>
      </c>
      <c r="F123" s="6" t="s">
        <v>116</v>
      </c>
    </row>
    <row r="124" spans="1:6" ht="38" customHeight="1">
      <c r="A124" s="4" t="s">
        <v>114</v>
      </c>
      <c r="B124" s="4" t="s">
        <v>115</v>
      </c>
      <c r="C124" s="4" t="s">
        <v>1262</v>
      </c>
      <c r="D124" s="4" t="s">
        <v>1023</v>
      </c>
      <c r="E124" s="4" t="s">
        <v>1261</v>
      </c>
      <c r="F124" s="4" t="s">
        <v>116</v>
      </c>
    </row>
    <row r="125" spans="1:6" ht="38" customHeight="1">
      <c r="A125" s="6" t="s">
        <v>114</v>
      </c>
      <c r="B125" s="6" t="s">
        <v>115</v>
      </c>
      <c r="C125" s="6" t="s">
        <v>1263</v>
      </c>
      <c r="D125" s="6" t="s">
        <v>1264</v>
      </c>
      <c r="E125" s="6" t="s">
        <v>1261</v>
      </c>
      <c r="F125" s="6" t="s">
        <v>116</v>
      </c>
    </row>
    <row r="126" spans="1:6" ht="38" customHeight="1">
      <c r="A126" s="4" t="s">
        <v>114</v>
      </c>
      <c r="B126" s="4" t="s">
        <v>115</v>
      </c>
      <c r="C126" s="4" t="s">
        <v>1265</v>
      </c>
      <c r="D126" s="4" t="s">
        <v>1266</v>
      </c>
      <c r="E126" s="4" t="s">
        <v>1261</v>
      </c>
      <c r="F126" s="4" t="s">
        <v>116</v>
      </c>
    </row>
    <row r="127" spans="1:6" ht="38" customHeight="1">
      <c r="A127" s="6" t="s">
        <v>114</v>
      </c>
      <c r="B127" s="6" t="s">
        <v>115</v>
      </c>
      <c r="C127" s="6" t="s">
        <v>1267</v>
      </c>
      <c r="D127" s="6" t="s">
        <v>1268</v>
      </c>
      <c r="E127" s="6" t="s">
        <v>1261</v>
      </c>
      <c r="F127" s="6" t="s">
        <v>116</v>
      </c>
    </row>
    <row r="128" spans="1:6" ht="38" customHeight="1">
      <c r="A128" s="4" t="s">
        <v>114</v>
      </c>
      <c r="B128" s="4" t="s">
        <v>115</v>
      </c>
      <c r="C128" s="4" t="s">
        <v>1269</v>
      </c>
      <c r="D128" s="4" t="s">
        <v>1270</v>
      </c>
      <c r="E128" s="4" t="s">
        <v>1261</v>
      </c>
      <c r="F128" s="4" t="s">
        <v>116</v>
      </c>
    </row>
    <row r="129" spans="1:6" ht="38" customHeight="1">
      <c r="A129" s="6" t="s">
        <v>114</v>
      </c>
      <c r="B129" s="6" t="s">
        <v>115</v>
      </c>
      <c r="C129" s="6" t="s">
        <v>1271</v>
      </c>
      <c r="D129" s="6" t="s">
        <v>1314</v>
      </c>
      <c r="E129" s="6" t="s">
        <v>1261</v>
      </c>
      <c r="F129" s="6" t="s">
        <v>116</v>
      </c>
    </row>
    <row r="130" spans="1:6" ht="38" customHeight="1">
      <c r="A130" s="4" t="s">
        <v>114</v>
      </c>
      <c r="B130" s="4" t="s">
        <v>115</v>
      </c>
      <c r="C130" s="4" t="s">
        <v>1273</v>
      </c>
      <c r="D130" s="4" t="s">
        <v>1274</v>
      </c>
      <c r="E130" s="4" t="s">
        <v>1261</v>
      </c>
      <c r="F130" s="4" t="s">
        <v>116</v>
      </c>
    </row>
    <row r="131" spans="1:6" ht="38" customHeight="1">
      <c r="A131" s="6" t="s">
        <v>114</v>
      </c>
      <c r="B131" s="6" t="s">
        <v>115</v>
      </c>
      <c r="C131" s="6" t="s">
        <v>1275</v>
      </c>
      <c r="D131" s="6" t="s">
        <v>1276</v>
      </c>
      <c r="E131" s="6" t="s">
        <v>1261</v>
      </c>
      <c r="F131" s="6" t="s">
        <v>116</v>
      </c>
    </row>
    <row r="132" spans="1:6" ht="38" customHeight="1">
      <c r="A132" s="4" t="s">
        <v>117</v>
      </c>
      <c r="B132" s="4" t="s">
        <v>118</v>
      </c>
      <c r="C132" s="4" t="s">
        <v>1259</v>
      </c>
      <c r="D132" s="4" t="s">
        <v>1315</v>
      </c>
      <c r="E132" s="4" t="s">
        <v>1261</v>
      </c>
      <c r="F132" s="4" t="s">
        <v>119</v>
      </c>
    </row>
    <row r="133" spans="1:6" ht="38" customHeight="1">
      <c r="A133" s="6" t="s">
        <v>117</v>
      </c>
      <c r="B133" s="6" t="s">
        <v>118</v>
      </c>
      <c r="C133" s="6" t="s">
        <v>1262</v>
      </c>
      <c r="D133" s="6" t="s">
        <v>1028</v>
      </c>
      <c r="E133" s="6" t="s">
        <v>1261</v>
      </c>
      <c r="F133" s="6" t="s">
        <v>119</v>
      </c>
    </row>
    <row r="134" spans="1:6" ht="38" customHeight="1">
      <c r="A134" s="4" t="s">
        <v>117</v>
      </c>
      <c r="B134" s="4" t="s">
        <v>118</v>
      </c>
      <c r="C134" s="4" t="s">
        <v>1263</v>
      </c>
      <c r="D134" s="4" t="s">
        <v>1264</v>
      </c>
      <c r="E134" s="4" t="s">
        <v>1261</v>
      </c>
      <c r="F134" s="4" t="s">
        <v>119</v>
      </c>
    </row>
    <row r="135" spans="1:6" ht="38" customHeight="1">
      <c r="A135" s="6" t="s">
        <v>117</v>
      </c>
      <c r="B135" s="6" t="s">
        <v>118</v>
      </c>
      <c r="C135" s="6" t="s">
        <v>1265</v>
      </c>
      <c r="D135" s="6" t="s">
        <v>1266</v>
      </c>
      <c r="E135" s="6" t="s">
        <v>1261</v>
      </c>
      <c r="F135" s="6" t="s">
        <v>119</v>
      </c>
    </row>
    <row r="136" spans="1:6" ht="38" customHeight="1">
      <c r="A136" s="4" t="s">
        <v>117</v>
      </c>
      <c r="B136" s="4" t="s">
        <v>118</v>
      </c>
      <c r="C136" s="4" t="s">
        <v>1267</v>
      </c>
      <c r="D136" s="4" t="s">
        <v>1268</v>
      </c>
      <c r="E136" s="4" t="s">
        <v>1261</v>
      </c>
      <c r="F136" s="4" t="s">
        <v>119</v>
      </c>
    </row>
    <row r="137" spans="1:6" ht="38" customHeight="1">
      <c r="A137" s="6" t="s">
        <v>117</v>
      </c>
      <c r="B137" s="6" t="s">
        <v>118</v>
      </c>
      <c r="C137" s="6" t="s">
        <v>1269</v>
      </c>
      <c r="D137" s="6" t="s">
        <v>1270</v>
      </c>
      <c r="E137" s="6" t="s">
        <v>1261</v>
      </c>
      <c r="F137" s="6" t="s">
        <v>119</v>
      </c>
    </row>
    <row r="138" spans="1:6" ht="38" customHeight="1">
      <c r="A138" s="4" t="s">
        <v>117</v>
      </c>
      <c r="B138" s="4" t="s">
        <v>118</v>
      </c>
      <c r="C138" s="4" t="s">
        <v>1271</v>
      </c>
      <c r="D138" s="4" t="s">
        <v>1307</v>
      </c>
      <c r="E138" s="4" t="s">
        <v>1261</v>
      </c>
      <c r="F138" s="4" t="s">
        <v>119</v>
      </c>
    </row>
    <row r="139" spans="1:6" ht="38" customHeight="1">
      <c r="A139" s="6" t="s">
        <v>117</v>
      </c>
      <c r="B139" s="6" t="s">
        <v>118</v>
      </c>
      <c r="C139" s="6" t="s">
        <v>1273</v>
      </c>
      <c r="D139" s="6" t="s">
        <v>1274</v>
      </c>
      <c r="E139" s="6" t="s">
        <v>1261</v>
      </c>
      <c r="F139" s="6" t="s">
        <v>119</v>
      </c>
    </row>
    <row r="140" spans="1:6" ht="38" customHeight="1">
      <c r="A140" s="4" t="s">
        <v>117</v>
      </c>
      <c r="B140" s="4" t="s">
        <v>118</v>
      </c>
      <c r="C140" s="4" t="s">
        <v>1275</v>
      </c>
      <c r="D140" s="4" t="s">
        <v>1276</v>
      </c>
      <c r="E140" s="4" t="s">
        <v>1261</v>
      </c>
      <c r="F140" s="4" t="s">
        <v>119</v>
      </c>
    </row>
    <row r="141" spans="1:6" ht="38" customHeight="1">
      <c r="A141" s="6" t="s">
        <v>120</v>
      </c>
      <c r="B141" s="6" t="s">
        <v>121</v>
      </c>
      <c r="C141" s="6" t="s">
        <v>1259</v>
      </c>
      <c r="D141" s="6" t="s">
        <v>1316</v>
      </c>
      <c r="E141" s="6" t="s">
        <v>1261</v>
      </c>
      <c r="F141" s="6" t="s">
        <v>123</v>
      </c>
    </row>
    <row r="142" spans="1:6" ht="38" customHeight="1">
      <c r="A142" s="4" t="s">
        <v>120</v>
      </c>
      <c r="B142" s="4" t="s">
        <v>121</v>
      </c>
      <c r="C142" s="4" t="s">
        <v>1262</v>
      </c>
      <c r="D142" s="4" t="s">
        <v>1032</v>
      </c>
      <c r="E142" s="4" t="s">
        <v>1261</v>
      </c>
      <c r="F142" s="4" t="s">
        <v>123</v>
      </c>
    </row>
    <row r="143" spans="1:6" ht="38" customHeight="1">
      <c r="A143" s="6" t="s">
        <v>120</v>
      </c>
      <c r="B143" s="6" t="s">
        <v>121</v>
      </c>
      <c r="C143" s="6" t="s">
        <v>1263</v>
      </c>
      <c r="D143" s="6" t="s">
        <v>1264</v>
      </c>
      <c r="E143" s="6" t="s">
        <v>1261</v>
      </c>
      <c r="F143" s="6" t="s">
        <v>123</v>
      </c>
    </row>
    <row r="144" spans="1:6" ht="38" customHeight="1">
      <c r="A144" s="4" t="s">
        <v>120</v>
      </c>
      <c r="B144" s="4" t="s">
        <v>121</v>
      </c>
      <c r="C144" s="4" t="s">
        <v>1265</v>
      </c>
      <c r="D144" s="4" t="s">
        <v>1266</v>
      </c>
      <c r="E144" s="4" t="s">
        <v>1261</v>
      </c>
      <c r="F144" s="4" t="s">
        <v>123</v>
      </c>
    </row>
    <row r="145" spans="1:6" ht="38" customHeight="1">
      <c r="A145" s="6" t="s">
        <v>120</v>
      </c>
      <c r="B145" s="6" t="s">
        <v>121</v>
      </c>
      <c r="C145" s="6" t="s">
        <v>1267</v>
      </c>
      <c r="D145" s="6" t="s">
        <v>1268</v>
      </c>
      <c r="E145" s="6" t="s">
        <v>1261</v>
      </c>
      <c r="F145" s="6" t="s">
        <v>123</v>
      </c>
    </row>
    <row r="146" spans="1:6" ht="38" customHeight="1">
      <c r="A146" s="4" t="s">
        <v>120</v>
      </c>
      <c r="B146" s="4" t="s">
        <v>121</v>
      </c>
      <c r="C146" s="4" t="s">
        <v>1269</v>
      </c>
      <c r="D146" s="4" t="s">
        <v>1270</v>
      </c>
      <c r="E146" s="4" t="s">
        <v>1261</v>
      </c>
      <c r="F146" s="4" t="s">
        <v>123</v>
      </c>
    </row>
    <row r="147" spans="1:6" ht="38" customHeight="1">
      <c r="A147" s="6" t="s">
        <v>120</v>
      </c>
      <c r="B147" s="6" t="s">
        <v>121</v>
      </c>
      <c r="C147" s="6" t="s">
        <v>1271</v>
      </c>
      <c r="D147" s="6" t="s">
        <v>1307</v>
      </c>
      <c r="E147" s="6" t="s">
        <v>1261</v>
      </c>
      <c r="F147" s="6" t="s">
        <v>123</v>
      </c>
    </row>
    <row r="148" spans="1:6" ht="38" customHeight="1">
      <c r="A148" s="4" t="s">
        <v>120</v>
      </c>
      <c r="B148" s="4" t="s">
        <v>121</v>
      </c>
      <c r="C148" s="4" t="s">
        <v>1273</v>
      </c>
      <c r="D148" s="4" t="s">
        <v>1274</v>
      </c>
      <c r="E148" s="4" t="s">
        <v>1261</v>
      </c>
      <c r="F148" s="4" t="s">
        <v>123</v>
      </c>
    </row>
    <row r="149" spans="1:6" ht="38" customHeight="1">
      <c r="A149" s="6" t="s">
        <v>120</v>
      </c>
      <c r="B149" s="6" t="s">
        <v>121</v>
      </c>
      <c r="C149" s="6" t="s">
        <v>1275</v>
      </c>
      <c r="D149" s="6" t="s">
        <v>1276</v>
      </c>
      <c r="E149" s="6" t="s">
        <v>1261</v>
      </c>
      <c r="F149" s="6" t="s">
        <v>123</v>
      </c>
    </row>
    <row r="150" spans="1:6" ht="38" customHeight="1">
      <c r="A150" s="4" t="s">
        <v>124</v>
      </c>
      <c r="B150" s="4" t="s">
        <v>125</v>
      </c>
      <c r="C150" s="4" t="s">
        <v>1259</v>
      </c>
      <c r="D150" s="4" t="s">
        <v>1317</v>
      </c>
      <c r="E150" s="4" t="s">
        <v>1261</v>
      </c>
      <c r="F150" s="4" t="s">
        <v>126</v>
      </c>
    </row>
    <row r="151" spans="1:6" ht="38" customHeight="1">
      <c r="A151" s="6" t="s">
        <v>124</v>
      </c>
      <c r="B151" s="6" t="s">
        <v>125</v>
      </c>
      <c r="C151" s="6" t="s">
        <v>1262</v>
      </c>
      <c r="D151" s="6" t="s">
        <v>1036</v>
      </c>
      <c r="E151" s="6" t="s">
        <v>1261</v>
      </c>
      <c r="F151" s="6" t="s">
        <v>126</v>
      </c>
    </row>
    <row r="152" spans="1:6" ht="38" customHeight="1">
      <c r="A152" s="4" t="s">
        <v>124</v>
      </c>
      <c r="B152" s="4" t="s">
        <v>125</v>
      </c>
      <c r="C152" s="4" t="s">
        <v>1263</v>
      </c>
      <c r="D152" s="4" t="s">
        <v>1264</v>
      </c>
      <c r="E152" s="4" t="s">
        <v>1261</v>
      </c>
      <c r="F152" s="4" t="s">
        <v>126</v>
      </c>
    </row>
    <row r="153" spans="1:6" ht="38" customHeight="1">
      <c r="A153" s="6" t="s">
        <v>124</v>
      </c>
      <c r="B153" s="6" t="s">
        <v>125</v>
      </c>
      <c r="C153" s="6" t="s">
        <v>1265</v>
      </c>
      <c r="D153" s="6" t="s">
        <v>1266</v>
      </c>
      <c r="E153" s="6" t="s">
        <v>1261</v>
      </c>
      <c r="F153" s="6" t="s">
        <v>126</v>
      </c>
    </row>
    <row r="154" spans="1:6" ht="38" customHeight="1">
      <c r="A154" s="4" t="s">
        <v>124</v>
      </c>
      <c r="B154" s="4" t="s">
        <v>125</v>
      </c>
      <c r="C154" s="4" t="s">
        <v>1267</v>
      </c>
      <c r="D154" s="4" t="s">
        <v>1268</v>
      </c>
      <c r="E154" s="4" t="s">
        <v>1261</v>
      </c>
      <c r="F154" s="4" t="s">
        <v>126</v>
      </c>
    </row>
    <row r="155" spans="1:6" ht="38" customHeight="1">
      <c r="A155" s="6" t="s">
        <v>124</v>
      </c>
      <c r="B155" s="6" t="s">
        <v>125</v>
      </c>
      <c r="C155" s="6" t="s">
        <v>1269</v>
      </c>
      <c r="D155" s="6" t="s">
        <v>1270</v>
      </c>
      <c r="E155" s="6" t="s">
        <v>1261</v>
      </c>
      <c r="F155" s="6" t="s">
        <v>126</v>
      </c>
    </row>
    <row r="156" spans="1:6" ht="38" customHeight="1">
      <c r="A156" s="4" t="s">
        <v>124</v>
      </c>
      <c r="B156" s="4" t="s">
        <v>125</v>
      </c>
      <c r="C156" s="4" t="s">
        <v>1271</v>
      </c>
      <c r="D156" s="4" t="s">
        <v>1307</v>
      </c>
      <c r="E156" s="4" t="s">
        <v>1261</v>
      </c>
      <c r="F156" s="4" t="s">
        <v>126</v>
      </c>
    </row>
    <row r="157" spans="1:6" ht="38" customHeight="1">
      <c r="A157" s="6" t="s">
        <v>124</v>
      </c>
      <c r="B157" s="6" t="s">
        <v>125</v>
      </c>
      <c r="C157" s="6" t="s">
        <v>1273</v>
      </c>
      <c r="D157" s="6" t="s">
        <v>1274</v>
      </c>
      <c r="E157" s="6" t="s">
        <v>1261</v>
      </c>
      <c r="F157" s="6" t="s">
        <v>126</v>
      </c>
    </row>
    <row r="158" spans="1:6" ht="38" customHeight="1">
      <c r="A158" s="4" t="s">
        <v>124</v>
      </c>
      <c r="B158" s="4" t="s">
        <v>125</v>
      </c>
      <c r="C158" s="4" t="s">
        <v>1275</v>
      </c>
      <c r="D158" s="4" t="s">
        <v>1276</v>
      </c>
      <c r="E158" s="4" t="s">
        <v>1261</v>
      </c>
      <c r="F158" s="4" t="s">
        <v>126</v>
      </c>
    </row>
    <row r="159" spans="1:6" ht="38" customHeight="1">
      <c r="A159" s="6" t="s">
        <v>127</v>
      </c>
      <c r="B159" s="6" t="s">
        <v>128</v>
      </c>
      <c r="C159" s="6" t="s">
        <v>1259</v>
      </c>
      <c r="D159" s="6" t="s">
        <v>1318</v>
      </c>
      <c r="E159" s="6" t="s">
        <v>1261</v>
      </c>
      <c r="F159" s="6" t="s">
        <v>131</v>
      </c>
    </row>
    <row r="160" spans="1:6" ht="38" customHeight="1">
      <c r="A160" s="4" t="s">
        <v>127</v>
      </c>
      <c r="B160" s="4" t="s">
        <v>128</v>
      </c>
      <c r="C160" s="4" t="s">
        <v>1262</v>
      </c>
      <c r="D160" s="4" t="s">
        <v>1039</v>
      </c>
      <c r="E160" s="4" t="s">
        <v>1261</v>
      </c>
      <c r="F160" s="4" t="s">
        <v>131</v>
      </c>
    </row>
    <row r="161" spans="1:6" ht="38" customHeight="1">
      <c r="A161" s="6" t="s">
        <v>127</v>
      </c>
      <c r="B161" s="6" t="s">
        <v>128</v>
      </c>
      <c r="C161" s="6" t="s">
        <v>1263</v>
      </c>
      <c r="D161" s="6" t="s">
        <v>1264</v>
      </c>
      <c r="E161" s="6" t="s">
        <v>1261</v>
      </c>
      <c r="F161" s="6" t="s">
        <v>131</v>
      </c>
    </row>
    <row r="162" spans="1:6" ht="38" customHeight="1">
      <c r="A162" s="4" t="s">
        <v>127</v>
      </c>
      <c r="B162" s="4" t="s">
        <v>128</v>
      </c>
      <c r="C162" s="4" t="s">
        <v>1265</v>
      </c>
      <c r="D162" s="4" t="s">
        <v>1266</v>
      </c>
      <c r="E162" s="4" t="s">
        <v>1261</v>
      </c>
      <c r="F162" s="4" t="s">
        <v>131</v>
      </c>
    </row>
    <row r="163" spans="1:6" ht="38" customHeight="1">
      <c r="A163" s="6" t="s">
        <v>127</v>
      </c>
      <c r="B163" s="6" t="s">
        <v>128</v>
      </c>
      <c r="C163" s="6" t="s">
        <v>1267</v>
      </c>
      <c r="D163" s="6" t="s">
        <v>1268</v>
      </c>
      <c r="E163" s="6" t="s">
        <v>1261</v>
      </c>
      <c r="F163" s="6" t="s">
        <v>131</v>
      </c>
    </row>
    <row r="164" spans="1:6" ht="38" customHeight="1">
      <c r="A164" s="4" t="s">
        <v>127</v>
      </c>
      <c r="B164" s="4" t="s">
        <v>128</v>
      </c>
      <c r="C164" s="4" t="s">
        <v>1269</v>
      </c>
      <c r="D164" s="4" t="s">
        <v>1270</v>
      </c>
      <c r="E164" s="4" t="s">
        <v>1261</v>
      </c>
      <c r="F164" s="4" t="s">
        <v>131</v>
      </c>
    </row>
    <row r="165" spans="1:6" ht="38" customHeight="1">
      <c r="A165" s="6" t="s">
        <v>127</v>
      </c>
      <c r="B165" s="6" t="s">
        <v>128</v>
      </c>
      <c r="C165" s="6" t="s">
        <v>1271</v>
      </c>
      <c r="D165" s="6" t="s">
        <v>1319</v>
      </c>
      <c r="E165" s="6" t="s">
        <v>1261</v>
      </c>
      <c r="F165" s="6" t="s">
        <v>131</v>
      </c>
    </row>
    <row r="166" spans="1:6" ht="38" customHeight="1">
      <c r="A166" s="4" t="s">
        <v>127</v>
      </c>
      <c r="B166" s="4" t="s">
        <v>128</v>
      </c>
      <c r="C166" s="4" t="s">
        <v>1273</v>
      </c>
      <c r="D166" s="4" t="s">
        <v>1274</v>
      </c>
      <c r="E166" s="4" t="s">
        <v>1261</v>
      </c>
      <c r="F166" s="4" t="s">
        <v>131</v>
      </c>
    </row>
    <row r="167" spans="1:6" ht="38" customHeight="1">
      <c r="A167" s="6" t="s">
        <v>127</v>
      </c>
      <c r="B167" s="6" t="s">
        <v>128</v>
      </c>
      <c r="C167" s="6" t="s">
        <v>1275</v>
      </c>
      <c r="D167" s="6" t="s">
        <v>1276</v>
      </c>
      <c r="E167" s="6" t="s">
        <v>1261</v>
      </c>
      <c r="F167" s="6" t="s">
        <v>131</v>
      </c>
    </row>
    <row r="168" spans="1:6" ht="38" customHeight="1">
      <c r="A168" s="4" t="s">
        <v>132</v>
      </c>
      <c r="B168" s="4" t="s">
        <v>133</v>
      </c>
      <c r="C168" s="4" t="s">
        <v>1259</v>
      </c>
      <c r="D168" s="4" t="s">
        <v>1320</v>
      </c>
      <c r="E168" s="4" t="s">
        <v>1261</v>
      </c>
      <c r="F168" s="4" t="s">
        <v>134</v>
      </c>
    </row>
    <row r="169" spans="1:6" ht="38" customHeight="1">
      <c r="A169" s="6" t="s">
        <v>132</v>
      </c>
      <c r="B169" s="6" t="s">
        <v>133</v>
      </c>
      <c r="C169" s="6" t="s">
        <v>1262</v>
      </c>
      <c r="D169" s="6" t="s">
        <v>1043</v>
      </c>
      <c r="E169" s="6" t="s">
        <v>1261</v>
      </c>
      <c r="F169" s="6" t="s">
        <v>134</v>
      </c>
    </row>
    <row r="170" spans="1:6" ht="38" customHeight="1">
      <c r="A170" s="4" t="s">
        <v>132</v>
      </c>
      <c r="B170" s="4" t="s">
        <v>133</v>
      </c>
      <c r="C170" s="4" t="s">
        <v>1263</v>
      </c>
      <c r="D170" s="4" t="s">
        <v>1264</v>
      </c>
      <c r="E170" s="4" t="s">
        <v>1261</v>
      </c>
      <c r="F170" s="4" t="s">
        <v>134</v>
      </c>
    </row>
    <row r="171" spans="1:6" ht="38" customHeight="1">
      <c r="A171" s="6" t="s">
        <v>132</v>
      </c>
      <c r="B171" s="6" t="s">
        <v>133</v>
      </c>
      <c r="C171" s="6" t="s">
        <v>1265</v>
      </c>
      <c r="D171" s="6" t="s">
        <v>1266</v>
      </c>
      <c r="E171" s="6" t="s">
        <v>1261</v>
      </c>
      <c r="F171" s="6" t="s">
        <v>134</v>
      </c>
    </row>
    <row r="172" spans="1:6" ht="38" customHeight="1">
      <c r="A172" s="4" t="s">
        <v>132</v>
      </c>
      <c r="B172" s="4" t="s">
        <v>133</v>
      </c>
      <c r="C172" s="4" t="s">
        <v>1267</v>
      </c>
      <c r="D172" s="4" t="s">
        <v>1268</v>
      </c>
      <c r="E172" s="4" t="s">
        <v>1261</v>
      </c>
      <c r="F172" s="4" t="s">
        <v>134</v>
      </c>
    </row>
    <row r="173" spans="1:6" ht="38" customHeight="1">
      <c r="A173" s="6" t="s">
        <v>132</v>
      </c>
      <c r="B173" s="6" t="s">
        <v>133</v>
      </c>
      <c r="C173" s="6" t="s">
        <v>1269</v>
      </c>
      <c r="D173" s="6" t="s">
        <v>1270</v>
      </c>
      <c r="E173" s="6" t="s">
        <v>1261</v>
      </c>
      <c r="F173" s="6" t="s">
        <v>134</v>
      </c>
    </row>
    <row r="174" spans="1:6" ht="38" customHeight="1">
      <c r="A174" s="4" t="s">
        <v>132</v>
      </c>
      <c r="B174" s="4" t="s">
        <v>133</v>
      </c>
      <c r="C174" s="4" t="s">
        <v>1271</v>
      </c>
      <c r="D174" s="4" t="s">
        <v>1307</v>
      </c>
      <c r="E174" s="4" t="s">
        <v>1261</v>
      </c>
      <c r="F174" s="4" t="s">
        <v>134</v>
      </c>
    </row>
    <row r="175" spans="1:6" ht="38" customHeight="1">
      <c r="A175" s="6" t="s">
        <v>132</v>
      </c>
      <c r="B175" s="6" t="s">
        <v>133</v>
      </c>
      <c r="C175" s="6" t="s">
        <v>1273</v>
      </c>
      <c r="D175" s="6" t="s">
        <v>1274</v>
      </c>
      <c r="E175" s="6" t="s">
        <v>1261</v>
      </c>
      <c r="F175" s="6" t="s">
        <v>134</v>
      </c>
    </row>
    <row r="176" spans="1:6" ht="38" customHeight="1">
      <c r="A176" s="4" t="s">
        <v>132</v>
      </c>
      <c r="B176" s="4" t="s">
        <v>133</v>
      </c>
      <c r="C176" s="4" t="s">
        <v>1275</v>
      </c>
      <c r="D176" s="4" t="s">
        <v>1276</v>
      </c>
      <c r="E176" s="4" t="s">
        <v>1261</v>
      </c>
      <c r="F176" s="4" t="s">
        <v>134</v>
      </c>
    </row>
    <row r="177" spans="1:6" ht="38" customHeight="1">
      <c r="A177" s="6" t="s">
        <v>135</v>
      </c>
      <c r="B177" s="6" t="s">
        <v>136</v>
      </c>
      <c r="C177" s="6" t="s">
        <v>1259</v>
      </c>
      <c r="D177" s="6" t="s">
        <v>1321</v>
      </c>
      <c r="E177" s="6" t="s">
        <v>1261</v>
      </c>
      <c r="F177" s="6" t="s">
        <v>137</v>
      </c>
    </row>
    <row r="178" spans="1:6" ht="38" customHeight="1">
      <c r="A178" s="4" t="s">
        <v>135</v>
      </c>
      <c r="B178" s="4" t="s">
        <v>136</v>
      </c>
      <c r="C178" s="4" t="s">
        <v>1262</v>
      </c>
      <c r="D178" s="4" t="s">
        <v>1046</v>
      </c>
      <c r="E178" s="4" t="s">
        <v>1261</v>
      </c>
      <c r="F178" s="4" t="s">
        <v>137</v>
      </c>
    </row>
    <row r="179" spans="1:6" ht="38" customHeight="1">
      <c r="A179" s="6" t="s">
        <v>135</v>
      </c>
      <c r="B179" s="6" t="s">
        <v>136</v>
      </c>
      <c r="C179" s="6" t="s">
        <v>1263</v>
      </c>
      <c r="D179" s="6" t="s">
        <v>1264</v>
      </c>
      <c r="E179" s="6" t="s">
        <v>1261</v>
      </c>
      <c r="F179" s="6" t="s">
        <v>137</v>
      </c>
    </row>
    <row r="180" spans="1:6" ht="38" customHeight="1">
      <c r="A180" s="4" t="s">
        <v>135</v>
      </c>
      <c r="B180" s="4" t="s">
        <v>136</v>
      </c>
      <c r="C180" s="4" t="s">
        <v>1265</v>
      </c>
      <c r="D180" s="4" t="s">
        <v>1266</v>
      </c>
      <c r="E180" s="4" t="s">
        <v>1261</v>
      </c>
      <c r="F180" s="4" t="s">
        <v>137</v>
      </c>
    </row>
    <row r="181" spans="1:6" ht="38" customHeight="1">
      <c r="A181" s="6" t="s">
        <v>135</v>
      </c>
      <c r="B181" s="6" t="s">
        <v>136</v>
      </c>
      <c r="C181" s="6" t="s">
        <v>1267</v>
      </c>
      <c r="D181" s="6" t="s">
        <v>1268</v>
      </c>
      <c r="E181" s="6" t="s">
        <v>1261</v>
      </c>
      <c r="F181" s="6" t="s">
        <v>137</v>
      </c>
    </row>
    <row r="182" spans="1:6" ht="38" customHeight="1">
      <c r="A182" s="4" t="s">
        <v>135</v>
      </c>
      <c r="B182" s="4" t="s">
        <v>136</v>
      </c>
      <c r="C182" s="4" t="s">
        <v>1269</v>
      </c>
      <c r="D182" s="4" t="s">
        <v>1270</v>
      </c>
      <c r="E182" s="4" t="s">
        <v>1261</v>
      </c>
      <c r="F182" s="4" t="s">
        <v>137</v>
      </c>
    </row>
    <row r="183" spans="1:6" ht="38" customHeight="1">
      <c r="A183" s="6" t="s">
        <v>135</v>
      </c>
      <c r="B183" s="6" t="s">
        <v>136</v>
      </c>
      <c r="C183" s="6" t="s">
        <v>1271</v>
      </c>
      <c r="D183" s="6" t="s">
        <v>1322</v>
      </c>
      <c r="E183" s="6" t="s">
        <v>1261</v>
      </c>
      <c r="F183" s="6" t="s">
        <v>137</v>
      </c>
    </row>
    <row r="184" spans="1:6" ht="38" customHeight="1">
      <c r="A184" s="4" t="s">
        <v>135</v>
      </c>
      <c r="B184" s="4" t="s">
        <v>136</v>
      </c>
      <c r="C184" s="4" t="s">
        <v>1273</v>
      </c>
      <c r="D184" s="4" t="s">
        <v>1274</v>
      </c>
      <c r="E184" s="4" t="s">
        <v>1261</v>
      </c>
      <c r="F184" s="4" t="s">
        <v>137</v>
      </c>
    </row>
    <row r="185" spans="1:6" ht="38" customHeight="1">
      <c r="A185" s="6" t="s">
        <v>135</v>
      </c>
      <c r="B185" s="6" t="s">
        <v>136</v>
      </c>
      <c r="C185" s="6" t="s">
        <v>1275</v>
      </c>
      <c r="D185" s="6" t="s">
        <v>1276</v>
      </c>
      <c r="E185" s="6" t="s">
        <v>1261</v>
      </c>
      <c r="F185" s="6" t="s">
        <v>137</v>
      </c>
    </row>
    <row r="186" spans="1:6" ht="38" customHeight="1">
      <c r="A186" s="4" t="s">
        <v>138</v>
      </c>
      <c r="B186" s="4" t="s">
        <v>139</v>
      </c>
      <c r="C186" s="4" t="s">
        <v>1259</v>
      </c>
      <c r="D186" s="4" t="s">
        <v>1323</v>
      </c>
      <c r="E186" s="4" t="s">
        <v>1261</v>
      </c>
      <c r="F186" s="4" t="s">
        <v>140</v>
      </c>
    </row>
    <row r="187" spans="1:6" ht="38" customHeight="1">
      <c r="A187" s="6" t="s">
        <v>138</v>
      </c>
      <c r="B187" s="6" t="s">
        <v>139</v>
      </c>
      <c r="C187" s="6" t="s">
        <v>1262</v>
      </c>
      <c r="D187" s="6" t="s">
        <v>1050</v>
      </c>
      <c r="E187" s="6" t="s">
        <v>1261</v>
      </c>
      <c r="F187" s="6" t="s">
        <v>140</v>
      </c>
    </row>
    <row r="188" spans="1:6" ht="38" customHeight="1">
      <c r="A188" s="4" t="s">
        <v>138</v>
      </c>
      <c r="B188" s="4" t="s">
        <v>139</v>
      </c>
      <c r="C188" s="4" t="s">
        <v>1263</v>
      </c>
      <c r="D188" s="4" t="s">
        <v>1264</v>
      </c>
      <c r="E188" s="4" t="s">
        <v>1261</v>
      </c>
      <c r="F188" s="4" t="s">
        <v>140</v>
      </c>
    </row>
    <row r="189" spans="1:6" ht="38" customHeight="1">
      <c r="A189" s="6" t="s">
        <v>138</v>
      </c>
      <c r="B189" s="6" t="s">
        <v>139</v>
      </c>
      <c r="C189" s="6" t="s">
        <v>1265</v>
      </c>
      <c r="D189" s="6" t="s">
        <v>1266</v>
      </c>
      <c r="E189" s="6" t="s">
        <v>1261</v>
      </c>
      <c r="F189" s="6" t="s">
        <v>140</v>
      </c>
    </row>
    <row r="190" spans="1:6" ht="38" customHeight="1">
      <c r="A190" s="4" t="s">
        <v>138</v>
      </c>
      <c r="B190" s="4" t="s">
        <v>139</v>
      </c>
      <c r="C190" s="4" t="s">
        <v>1267</v>
      </c>
      <c r="D190" s="4" t="s">
        <v>1268</v>
      </c>
      <c r="E190" s="4" t="s">
        <v>1261</v>
      </c>
      <c r="F190" s="4" t="s">
        <v>140</v>
      </c>
    </row>
    <row r="191" spans="1:6" ht="38" customHeight="1">
      <c r="A191" s="6" t="s">
        <v>138</v>
      </c>
      <c r="B191" s="6" t="s">
        <v>139</v>
      </c>
      <c r="C191" s="6" t="s">
        <v>1269</v>
      </c>
      <c r="D191" s="6" t="s">
        <v>1270</v>
      </c>
      <c r="E191" s="6" t="s">
        <v>1261</v>
      </c>
      <c r="F191" s="6" t="s">
        <v>140</v>
      </c>
    </row>
    <row r="192" spans="1:6" ht="38" customHeight="1">
      <c r="A192" s="4" t="s">
        <v>138</v>
      </c>
      <c r="B192" s="4" t="s">
        <v>139</v>
      </c>
      <c r="C192" s="4" t="s">
        <v>1271</v>
      </c>
      <c r="D192" s="4" t="s">
        <v>1307</v>
      </c>
      <c r="E192" s="4" t="s">
        <v>1261</v>
      </c>
      <c r="F192" s="4" t="s">
        <v>140</v>
      </c>
    </row>
    <row r="193" spans="1:6" ht="38" customHeight="1">
      <c r="A193" s="6" t="s">
        <v>138</v>
      </c>
      <c r="B193" s="6" t="s">
        <v>139</v>
      </c>
      <c r="C193" s="6" t="s">
        <v>1273</v>
      </c>
      <c r="D193" s="6" t="s">
        <v>1274</v>
      </c>
      <c r="E193" s="6" t="s">
        <v>1261</v>
      </c>
      <c r="F193" s="6" t="s">
        <v>140</v>
      </c>
    </row>
    <row r="194" spans="1:6" ht="38" customHeight="1">
      <c r="A194" s="4" t="s">
        <v>138</v>
      </c>
      <c r="B194" s="4" t="s">
        <v>139</v>
      </c>
      <c r="C194" s="4" t="s">
        <v>1275</v>
      </c>
      <c r="D194" s="4" t="s">
        <v>1276</v>
      </c>
      <c r="E194" s="4" t="s">
        <v>1261</v>
      </c>
      <c r="F194" s="4" t="s">
        <v>140</v>
      </c>
    </row>
    <row r="195" spans="1:6" ht="38" customHeight="1">
      <c r="A195" s="6" t="s">
        <v>141</v>
      </c>
      <c r="B195" s="6" t="s">
        <v>142</v>
      </c>
      <c r="C195" s="6" t="s">
        <v>1259</v>
      </c>
      <c r="D195" s="6" t="s">
        <v>1324</v>
      </c>
      <c r="E195" s="6" t="s">
        <v>1261</v>
      </c>
      <c r="F195" s="6" t="s">
        <v>143</v>
      </c>
    </row>
    <row r="196" spans="1:6" ht="38" customHeight="1">
      <c r="A196" s="4" t="s">
        <v>141</v>
      </c>
      <c r="B196" s="4" t="s">
        <v>142</v>
      </c>
      <c r="C196" s="4" t="s">
        <v>1262</v>
      </c>
      <c r="D196" s="4" t="s">
        <v>1054</v>
      </c>
      <c r="E196" s="4" t="s">
        <v>1261</v>
      </c>
      <c r="F196" s="4" t="s">
        <v>143</v>
      </c>
    </row>
    <row r="197" spans="1:6" ht="38" customHeight="1">
      <c r="A197" s="6" t="s">
        <v>141</v>
      </c>
      <c r="B197" s="6" t="s">
        <v>142</v>
      </c>
      <c r="C197" s="6" t="s">
        <v>1263</v>
      </c>
      <c r="D197" s="6" t="s">
        <v>1264</v>
      </c>
      <c r="E197" s="6" t="s">
        <v>1261</v>
      </c>
      <c r="F197" s="6" t="s">
        <v>143</v>
      </c>
    </row>
    <row r="198" spans="1:6" ht="38" customHeight="1">
      <c r="A198" s="4" t="s">
        <v>141</v>
      </c>
      <c r="B198" s="4" t="s">
        <v>142</v>
      </c>
      <c r="C198" s="4" t="s">
        <v>1265</v>
      </c>
      <c r="D198" s="4" t="s">
        <v>1266</v>
      </c>
      <c r="E198" s="4" t="s">
        <v>1261</v>
      </c>
      <c r="F198" s="4" t="s">
        <v>143</v>
      </c>
    </row>
    <row r="199" spans="1:6" ht="38" customHeight="1">
      <c r="A199" s="6" t="s">
        <v>141</v>
      </c>
      <c r="B199" s="6" t="s">
        <v>142</v>
      </c>
      <c r="C199" s="6" t="s">
        <v>1267</v>
      </c>
      <c r="D199" s="6" t="s">
        <v>1268</v>
      </c>
      <c r="E199" s="6" t="s">
        <v>1261</v>
      </c>
      <c r="F199" s="6" t="s">
        <v>143</v>
      </c>
    </row>
    <row r="200" spans="1:6" ht="38" customHeight="1">
      <c r="A200" s="4" t="s">
        <v>141</v>
      </c>
      <c r="B200" s="4" t="s">
        <v>142</v>
      </c>
      <c r="C200" s="4" t="s">
        <v>1269</v>
      </c>
      <c r="D200" s="4" t="s">
        <v>1270</v>
      </c>
      <c r="E200" s="4" t="s">
        <v>1261</v>
      </c>
      <c r="F200" s="4" t="s">
        <v>143</v>
      </c>
    </row>
    <row r="201" spans="1:6" ht="38" customHeight="1">
      <c r="A201" s="6" t="s">
        <v>141</v>
      </c>
      <c r="B201" s="6" t="s">
        <v>142</v>
      </c>
      <c r="C201" s="6" t="s">
        <v>1271</v>
      </c>
      <c r="D201" s="6" t="s">
        <v>1325</v>
      </c>
      <c r="E201" s="6" t="s">
        <v>1261</v>
      </c>
      <c r="F201" s="6" t="s">
        <v>143</v>
      </c>
    </row>
    <row r="202" spans="1:6" ht="38" customHeight="1">
      <c r="A202" s="4" t="s">
        <v>141</v>
      </c>
      <c r="B202" s="4" t="s">
        <v>142</v>
      </c>
      <c r="C202" s="4" t="s">
        <v>1273</v>
      </c>
      <c r="D202" s="4" t="s">
        <v>1274</v>
      </c>
      <c r="E202" s="4" t="s">
        <v>1261</v>
      </c>
      <c r="F202" s="4" t="s">
        <v>143</v>
      </c>
    </row>
    <row r="203" spans="1:6" ht="38" customHeight="1">
      <c r="A203" s="6" t="s">
        <v>141</v>
      </c>
      <c r="B203" s="6" t="s">
        <v>142</v>
      </c>
      <c r="C203" s="6" t="s">
        <v>1275</v>
      </c>
      <c r="D203" s="6" t="s">
        <v>1276</v>
      </c>
      <c r="E203" s="6" t="s">
        <v>1261</v>
      </c>
      <c r="F203" s="6" t="s">
        <v>143</v>
      </c>
    </row>
    <row r="204" spans="1:6" ht="38" customHeight="1">
      <c r="A204" s="4" t="s">
        <v>144</v>
      </c>
      <c r="B204" s="4" t="s">
        <v>145</v>
      </c>
      <c r="C204" s="4" t="s">
        <v>1259</v>
      </c>
      <c r="D204" s="4" t="s">
        <v>1326</v>
      </c>
      <c r="E204" s="4" t="s">
        <v>1261</v>
      </c>
      <c r="F204" s="4" t="s">
        <v>147</v>
      </c>
    </row>
    <row r="205" spans="1:6" ht="38" customHeight="1">
      <c r="A205" s="6" t="s">
        <v>144</v>
      </c>
      <c r="B205" s="6" t="s">
        <v>145</v>
      </c>
      <c r="C205" s="6" t="s">
        <v>1262</v>
      </c>
      <c r="D205" s="6" t="s">
        <v>1058</v>
      </c>
      <c r="E205" s="6" t="s">
        <v>1261</v>
      </c>
      <c r="F205" s="6" t="s">
        <v>147</v>
      </c>
    </row>
    <row r="206" spans="1:6" ht="38" customHeight="1">
      <c r="A206" s="4" t="s">
        <v>144</v>
      </c>
      <c r="B206" s="4" t="s">
        <v>145</v>
      </c>
      <c r="C206" s="4" t="s">
        <v>1263</v>
      </c>
      <c r="D206" s="4" t="s">
        <v>1264</v>
      </c>
      <c r="E206" s="4" t="s">
        <v>1261</v>
      </c>
      <c r="F206" s="4" t="s">
        <v>147</v>
      </c>
    </row>
    <row r="207" spans="1:6" ht="38" customHeight="1">
      <c r="A207" s="6" t="s">
        <v>144</v>
      </c>
      <c r="B207" s="6" t="s">
        <v>145</v>
      </c>
      <c r="C207" s="6" t="s">
        <v>1265</v>
      </c>
      <c r="D207" s="6" t="s">
        <v>1266</v>
      </c>
      <c r="E207" s="6" t="s">
        <v>1261</v>
      </c>
      <c r="F207" s="6" t="s">
        <v>147</v>
      </c>
    </row>
    <row r="208" spans="1:6" ht="38" customHeight="1">
      <c r="A208" s="4" t="s">
        <v>144</v>
      </c>
      <c r="B208" s="4" t="s">
        <v>145</v>
      </c>
      <c r="C208" s="4" t="s">
        <v>1267</v>
      </c>
      <c r="D208" s="4" t="s">
        <v>1268</v>
      </c>
      <c r="E208" s="4" t="s">
        <v>1261</v>
      </c>
      <c r="F208" s="4" t="s">
        <v>147</v>
      </c>
    </row>
    <row r="209" spans="1:6" ht="38" customHeight="1">
      <c r="A209" s="6" t="s">
        <v>144</v>
      </c>
      <c r="B209" s="6" t="s">
        <v>145</v>
      </c>
      <c r="C209" s="6" t="s">
        <v>1269</v>
      </c>
      <c r="D209" s="6" t="s">
        <v>1270</v>
      </c>
      <c r="E209" s="6" t="s">
        <v>1261</v>
      </c>
      <c r="F209" s="6" t="s">
        <v>147</v>
      </c>
    </row>
    <row r="210" spans="1:6" ht="38" customHeight="1">
      <c r="A210" s="4" t="s">
        <v>144</v>
      </c>
      <c r="B210" s="4" t="s">
        <v>145</v>
      </c>
      <c r="C210" s="4" t="s">
        <v>1271</v>
      </c>
      <c r="D210" s="4" t="s">
        <v>1307</v>
      </c>
      <c r="E210" s="4" t="s">
        <v>1261</v>
      </c>
      <c r="F210" s="4" t="s">
        <v>147</v>
      </c>
    </row>
    <row r="211" spans="1:6" ht="38" customHeight="1">
      <c r="A211" s="6" t="s">
        <v>144</v>
      </c>
      <c r="B211" s="6" t="s">
        <v>145</v>
      </c>
      <c r="C211" s="6" t="s">
        <v>1273</v>
      </c>
      <c r="D211" s="6" t="s">
        <v>1274</v>
      </c>
      <c r="E211" s="6" t="s">
        <v>1261</v>
      </c>
      <c r="F211" s="6" t="s">
        <v>147</v>
      </c>
    </row>
    <row r="212" spans="1:6" ht="38" customHeight="1">
      <c r="A212" s="4" t="s">
        <v>144</v>
      </c>
      <c r="B212" s="4" t="s">
        <v>145</v>
      </c>
      <c r="C212" s="4" t="s">
        <v>1275</v>
      </c>
      <c r="D212" s="4" t="s">
        <v>1276</v>
      </c>
      <c r="E212" s="4" t="s">
        <v>1261</v>
      </c>
      <c r="F212" s="4" t="s">
        <v>147</v>
      </c>
    </row>
    <row r="213" spans="1:6" ht="38" customHeight="1">
      <c r="A213" s="6" t="s">
        <v>148</v>
      </c>
      <c r="B213" s="6" t="s">
        <v>149</v>
      </c>
      <c r="C213" s="6" t="s">
        <v>1259</v>
      </c>
      <c r="D213" s="6" t="s">
        <v>1327</v>
      </c>
      <c r="E213" s="6" t="s">
        <v>1261</v>
      </c>
      <c r="F213" s="6" t="s">
        <v>151</v>
      </c>
    </row>
    <row r="214" spans="1:6" ht="38" customHeight="1">
      <c r="A214" s="4" t="s">
        <v>148</v>
      </c>
      <c r="B214" s="4" t="s">
        <v>149</v>
      </c>
      <c r="C214" s="4" t="s">
        <v>1262</v>
      </c>
      <c r="D214" s="4" t="s">
        <v>1061</v>
      </c>
      <c r="E214" s="4" t="s">
        <v>1261</v>
      </c>
      <c r="F214" s="4" t="s">
        <v>151</v>
      </c>
    </row>
    <row r="215" spans="1:6" ht="38" customHeight="1">
      <c r="A215" s="6" t="s">
        <v>148</v>
      </c>
      <c r="B215" s="6" t="s">
        <v>149</v>
      </c>
      <c r="C215" s="6" t="s">
        <v>1263</v>
      </c>
      <c r="D215" s="6" t="s">
        <v>1264</v>
      </c>
      <c r="E215" s="6" t="s">
        <v>1261</v>
      </c>
      <c r="F215" s="6" t="s">
        <v>151</v>
      </c>
    </row>
    <row r="216" spans="1:6" ht="38" customHeight="1">
      <c r="A216" s="4" t="s">
        <v>148</v>
      </c>
      <c r="B216" s="4" t="s">
        <v>149</v>
      </c>
      <c r="C216" s="4" t="s">
        <v>1265</v>
      </c>
      <c r="D216" s="4" t="s">
        <v>1266</v>
      </c>
      <c r="E216" s="4" t="s">
        <v>1261</v>
      </c>
      <c r="F216" s="4" t="s">
        <v>151</v>
      </c>
    </row>
    <row r="217" spans="1:6" ht="38" customHeight="1">
      <c r="A217" s="6" t="s">
        <v>148</v>
      </c>
      <c r="B217" s="6" t="s">
        <v>149</v>
      </c>
      <c r="C217" s="6" t="s">
        <v>1267</v>
      </c>
      <c r="D217" s="6" t="s">
        <v>1268</v>
      </c>
      <c r="E217" s="6" t="s">
        <v>1261</v>
      </c>
      <c r="F217" s="6" t="s">
        <v>151</v>
      </c>
    </row>
    <row r="218" spans="1:6" ht="38" customHeight="1">
      <c r="A218" s="4" t="s">
        <v>148</v>
      </c>
      <c r="B218" s="4" t="s">
        <v>149</v>
      </c>
      <c r="C218" s="4" t="s">
        <v>1269</v>
      </c>
      <c r="D218" s="4" t="s">
        <v>1270</v>
      </c>
      <c r="E218" s="4" t="s">
        <v>1261</v>
      </c>
      <c r="F218" s="4" t="s">
        <v>151</v>
      </c>
    </row>
    <row r="219" spans="1:6" ht="38" customHeight="1">
      <c r="A219" s="6" t="s">
        <v>148</v>
      </c>
      <c r="B219" s="6" t="s">
        <v>149</v>
      </c>
      <c r="C219" s="6" t="s">
        <v>1271</v>
      </c>
      <c r="D219" s="6" t="s">
        <v>1328</v>
      </c>
      <c r="E219" s="6" t="s">
        <v>1261</v>
      </c>
      <c r="F219" s="6" t="s">
        <v>151</v>
      </c>
    </row>
    <row r="220" spans="1:6" ht="38" customHeight="1">
      <c r="A220" s="4" t="s">
        <v>148</v>
      </c>
      <c r="B220" s="4" t="s">
        <v>149</v>
      </c>
      <c r="C220" s="4" t="s">
        <v>1273</v>
      </c>
      <c r="D220" s="4" t="s">
        <v>1274</v>
      </c>
      <c r="E220" s="4" t="s">
        <v>1261</v>
      </c>
      <c r="F220" s="4" t="s">
        <v>151</v>
      </c>
    </row>
    <row r="221" spans="1:6" ht="38" customHeight="1">
      <c r="A221" s="6" t="s">
        <v>148</v>
      </c>
      <c r="B221" s="6" t="s">
        <v>149</v>
      </c>
      <c r="C221" s="6" t="s">
        <v>1275</v>
      </c>
      <c r="D221" s="6" t="s">
        <v>1276</v>
      </c>
      <c r="E221" s="6" t="s">
        <v>1261</v>
      </c>
      <c r="F221" s="6" t="s">
        <v>151</v>
      </c>
    </row>
    <row r="222" spans="1:6" ht="38" customHeight="1">
      <c r="A222" s="4" t="s">
        <v>152</v>
      </c>
      <c r="B222" s="4" t="s">
        <v>153</v>
      </c>
      <c r="C222" s="4" t="s">
        <v>1259</v>
      </c>
      <c r="D222" s="4" t="s">
        <v>1329</v>
      </c>
      <c r="E222" s="4" t="s">
        <v>1261</v>
      </c>
      <c r="F222" s="4" t="s">
        <v>156</v>
      </c>
    </row>
    <row r="223" spans="1:6" ht="38" customHeight="1">
      <c r="A223" s="6" t="s">
        <v>152</v>
      </c>
      <c r="B223" s="6" t="s">
        <v>153</v>
      </c>
      <c r="C223" s="6" t="s">
        <v>1262</v>
      </c>
      <c r="D223" s="6" t="s">
        <v>1066</v>
      </c>
      <c r="E223" s="6" t="s">
        <v>1261</v>
      </c>
      <c r="F223" s="6" t="s">
        <v>156</v>
      </c>
    </row>
    <row r="224" spans="1:6" ht="38" customHeight="1">
      <c r="A224" s="4" t="s">
        <v>152</v>
      </c>
      <c r="B224" s="4" t="s">
        <v>153</v>
      </c>
      <c r="C224" s="4" t="s">
        <v>1263</v>
      </c>
      <c r="D224" s="4" t="s">
        <v>1330</v>
      </c>
      <c r="E224" s="4" t="s">
        <v>1261</v>
      </c>
      <c r="F224" s="4" t="s">
        <v>156</v>
      </c>
    </row>
    <row r="225" spans="1:6" ht="38" customHeight="1">
      <c r="A225" s="6" t="s">
        <v>152</v>
      </c>
      <c r="B225" s="6" t="s">
        <v>153</v>
      </c>
      <c r="C225" s="6" t="s">
        <v>1265</v>
      </c>
      <c r="D225" s="6" t="s">
        <v>1331</v>
      </c>
      <c r="E225" s="6" t="s">
        <v>1261</v>
      </c>
      <c r="F225" s="6" t="s">
        <v>156</v>
      </c>
    </row>
    <row r="226" spans="1:6" ht="38" customHeight="1">
      <c r="A226" s="4" t="s">
        <v>152</v>
      </c>
      <c r="B226" s="4" t="s">
        <v>153</v>
      </c>
      <c r="C226" s="4" t="s">
        <v>1267</v>
      </c>
      <c r="D226" s="4" t="s">
        <v>1332</v>
      </c>
      <c r="E226" s="4" t="s">
        <v>1261</v>
      </c>
      <c r="F226" s="4" t="s">
        <v>156</v>
      </c>
    </row>
    <row r="227" spans="1:6" ht="38" customHeight="1">
      <c r="A227" s="6" t="s">
        <v>152</v>
      </c>
      <c r="B227" s="6" t="s">
        <v>153</v>
      </c>
      <c r="C227" s="6" t="s">
        <v>1269</v>
      </c>
      <c r="D227" s="6" t="s">
        <v>1270</v>
      </c>
      <c r="E227" s="6" t="s">
        <v>1261</v>
      </c>
      <c r="F227" s="6" t="s">
        <v>156</v>
      </c>
    </row>
    <row r="228" spans="1:6" ht="38" customHeight="1">
      <c r="A228" s="4" t="s">
        <v>152</v>
      </c>
      <c r="B228" s="4" t="s">
        <v>153</v>
      </c>
      <c r="C228" s="4" t="s">
        <v>1271</v>
      </c>
      <c r="D228" s="4" t="s">
        <v>1333</v>
      </c>
      <c r="E228" s="4" t="s">
        <v>1261</v>
      </c>
      <c r="F228" s="4" t="s">
        <v>156</v>
      </c>
    </row>
    <row r="229" spans="1:6" ht="38" customHeight="1">
      <c r="A229" s="6" t="s">
        <v>152</v>
      </c>
      <c r="B229" s="6" t="s">
        <v>153</v>
      </c>
      <c r="C229" s="6" t="s">
        <v>1273</v>
      </c>
      <c r="D229" s="6" t="s">
        <v>1334</v>
      </c>
      <c r="E229" s="6" t="s">
        <v>1261</v>
      </c>
      <c r="F229" s="6" t="s">
        <v>156</v>
      </c>
    </row>
    <row r="230" spans="1:6" ht="38" customHeight="1">
      <c r="A230" s="4" t="s">
        <v>152</v>
      </c>
      <c r="B230" s="4" t="s">
        <v>153</v>
      </c>
      <c r="C230" s="4" t="s">
        <v>1275</v>
      </c>
      <c r="D230" s="4" t="s">
        <v>1335</v>
      </c>
      <c r="E230" s="4" t="s">
        <v>1261</v>
      </c>
      <c r="F230" s="4" t="s">
        <v>156</v>
      </c>
    </row>
    <row r="231" spans="1:6" ht="38" customHeight="1">
      <c r="A231" s="6" t="s">
        <v>157</v>
      </c>
      <c r="B231" s="6" t="s">
        <v>158</v>
      </c>
      <c r="C231" s="6" t="s">
        <v>1259</v>
      </c>
      <c r="D231" s="6" t="s">
        <v>1336</v>
      </c>
      <c r="E231" s="6" t="s">
        <v>1261</v>
      </c>
      <c r="F231" s="6" t="s">
        <v>159</v>
      </c>
    </row>
    <row r="232" spans="1:6" ht="38" customHeight="1">
      <c r="A232" s="4" t="s">
        <v>157</v>
      </c>
      <c r="B232" s="4" t="s">
        <v>158</v>
      </c>
      <c r="C232" s="4" t="s">
        <v>1262</v>
      </c>
      <c r="D232" s="4" t="s">
        <v>1070</v>
      </c>
      <c r="E232" s="4" t="s">
        <v>1261</v>
      </c>
      <c r="F232" s="4" t="s">
        <v>159</v>
      </c>
    </row>
    <row r="233" spans="1:6" ht="38" customHeight="1">
      <c r="A233" s="6" t="s">
        <v>157</v>
      </c>
      <c r="B233" s="6" t="s">
        <v>158</v>
      </c>
      <c r="C233" s="6" t="s">
        <v>1263</v>
      </c>
      <c r="D233" s="6" t="s">
        <v>1264</v>
      </c>
      <c r="E233" s="6" t="s">
        <v>1261</v>
      </c>
      <c r="F233" s="6" t="s">
        <v>159</v>
      </c>
    </row>
    <row r="234" spans="1:6" ht="38" customHeight="1">
      <c r="A234" s="4" t="s">
        <v>157</v>
      </c>
      <c r="B234" s="4" t="s">
        <v>158</v>
      </c>
      <c r="C234" s="4" t="s">
        <v>1265</v>
      </c>
      <c r="D234" s="4" t="s">
        <v>1266</v>
      </c>
      <c r="E234" s="4" t="s">
        <v>1261</v>
      </c>
      <c r="F234" s="4" t="s">
        <v>159</v>
      </c>
    </row>
    <row r="235" spans="1:6" ht="38" customHeight="1">
      <c r="A235" s="6" t="s">
        <v>157</v>
      </c>
      <c r="B235" s="6" t="s">
        <v>158</v>
      </c>
      <c r="C235" s="6" t="s">
        <v>1267</v>
      </c>
      <c r="D235" s="6" t="s">
        <v>1268</v>
      </c>
      <c r="E235" s="6" t="s">
        <v>1261</v>
      </c>
      <c r="F235" s="6" t="s">
        <v>159</v>
      </c>
    </row>
    <row r="236" spans="1:6" ht="38" customHeight="1">
      <c r="A236" s="4" t="s">
        <v>157</v>
      </c>
      <c r="B236" s="4" t="s">
        <v>158</v>
      </c>
      <c r="C236" s="4" t="s">
        <v>1269</v>
      </c>
      <c r="D236" s="4" t="s">
        <v>1270</v>
      </c>
      <c r="E236" s="4" t="s">
        <v>1261</v>
      </c>
      <c r="F236" s="4" t="s">
        <v>159</v>
      </c>
    </row>
    <row r="237" spans="1:6" ht="38" customHeight="1">
      <c r="A237" s="6" t="s">
        <v>157</v>
      </c>
      <c r="B237" s="6" t="s">
        <v>158</v>
      </c>
      <c r="C237" s="6" t="s">
        <v>1271</v>
      </c>
      <c r="D237" s="6" t="s">
        <v>1337</v>
      </c>
      <c r="E237" s="6" t="s">
        <v>1261</v>
      </c>
      <c r="F237" s="6" t="s">
        <v>159</v>
      </c>
    </row>
    <row r="238" spans="1:6" ht="38" customHeight="1">
      <c r="A238" s="4" t="s">
        <v>157</v>
      </c>
      <c r="B238" s="4" t="s">
        <v>158</v>
      </c>
      <c r="C238" s="4" t="s">
        <v>1273</v>
      </c>
      <c r="D238" s="4" t="s">
        <v>1274</v>
      </c>
      <c r="E238" s="4" t="s">
        <v>1261</v>
      </c>
      <c r="F238" s="4" t="s">
        <v>159</v>
      </c>
    </row>
    <row r="239" spans="1:6" ht="38" customHeight="1">
      <c r="A239" s="6" t="s">
        <v>157</v>
      </c>
      <c r="B239" s="6" t="s">
        <v>158</v>
      </c>
      <c r="C239" s="6" t="s">
        <v>1275</v>
      </c>
      <c r="D239" s="6" t="s">
        <v>1276</v>
      </c>
      <c r="E239" s="6" t="s">
        <v>1261</v>
      </c>
      <c r="F239" s="6" t="s">
        <v>159</v>
      </c>
    </row>
    <row r="240" spans="1:6" ht="38" customHeight="1">
      <c r="A240" s="4" t="s">
        <v>160</v>
      </c>
      <c r="B240" s="4" t="s">
        <v>161</v>
      </c>
      <c r="C240" s="4" t="s">
        <v>1259</v>
      </c>
      <c r="D240" s="4" t="s">
        <v>1338</v>
      </c>
      <c r="E240" s="4" t="s">
        <v>1261</v>
      </c>
      <c r="F240" s="4" t="s">
        <v>162</v>
      </c>
    </row>
    <row r="241" spans="1:6" ht="38" customHeight="1">
      <c r="A241" s="6" t="s">
        <v>160</v>
      </c>
      <c r="B241" s="6" t="s">
        <v>161</v>
      </c>
      <c r="C241" s="6" t="s">
        <v>1262</v>
      </c>
      <c r="D241" s="6" t="s">
        <v>1075</v>
      </c>
      <c r="E241" s="6" t="s">
        <v>1261</v>
      </c>
      <c r="F241" s="6" t="s">
        <v>162</v>
      </c>
    </row>
    <row r="242" spans="1:6" ht="38" customHeight="1">
      <c r="A242" s="4" t="s">
        <v>160</v>
      </c>
      <c r="B242" s="4" t="s">
        <v>161</v>
      </c>
      <c r="C242" s="4" t="s">
        <v>1263</v>
      </c>
      <c r="D242" s="4" t="s">
        <v>1264</v>
      </c>
      <c r="E242" s="4" t="s">
        <v>1261</v>
      </c>
      <c r="F242" s="4" t="s">
        <v>162</v>
      </c>
    </row>
    <row r="243" spans="1:6" ht="38" customHeight="1">
      <c r="A243" s="6" t="s">
        <v>160</v>
      </c>
      <c r="B243" s="6" t="s">
        <v>161</v>
      </c>
      <c r="C243" s="6" t="s">
        <v>1265</v>
      </c>
      <c r="D243" s="6" t="s">
        <v>1266</v>
      </c>
      <c r="E243" s="6" t="s">
        <v>1261</v>
      </c>
      <c r="F243" s="6" t="s">
        <v>162</v>
      </c>
    </row>
    <row r="244" spans="1:6" ht="38" customHeight="1">
      <c r="A244" s="4" t="s">
        <v>160</v>
      </c>
      <c r="B244" s="4" t="s">
        <v>161</v>
      </c>
      <c r="C244" s="4" t="s">
        <v>1267</v>
      </c>
      <c r="D244" s="4" t="s">
        <v>1268</v>
      </c>
      <c r="E244" s="4" t="s">
        <v>1261</v>
      </c>
      <c r="F244" s="4" t="s">
        <v>162</v>
      </c>
    </row>
    <row r="245" spans="1:6" ht="38" customHeight="1">
      <c r="A245" s="6" t="s">
        <v>160</v>
      </c>
      <c r="B245" s="6" t="s">
        <v>161</v>
      </c>
      <c r="C245" s="6" t="s">
        <v>1269</v>
      </c>
      <c r="D245" s="6" t="s">
        <v>1270</v>
      </c>
      <c r="E245" s="6" t="s">
        <v>1261</v>
      </c>
      <c r="F245" s="6" t="s">
        <v>162</v>
      </c>
    </row>
    <row r="246" spans="1:6" ht="38" customHeight="1">
      <c r="A246" s="4" t="s">
        <v>160</v>
      </c>
      <c r="B246" s="4" t="s">
        <v>161</v>
      </c>
      <c r="C246" s="4" t="s">
        <v>1271</v>
      </c>
      <c r="D246" s="4" t="s">
        <v>1339</v>
      </c>
      <c r="E246" s="4" t="s">
        <v>1261</v>
      </c>
      <c r="F246" s="4" t="s">
        <v>162</v>
      </c>
    </row>
    <row r="247" spans="1:6" ht="38" customHeight="1">
      <c r="A247" s="6" t="s">
        <v>160</v>
      </c>
      <c r="B247" s="6" t="s">
        <v>161</v>
      </c>
      <c r="C247" s="6" t="s">
        <v>1273</v>
      </c>
      <c r="D247" s="6" t="s">
        <v>1274</v>
      </c>
      <c r="E247" s="6" t="s">
        <v>1261</v>
      </c>
      <c r="F247" s="6" t="s">
        <v>162</v>
      </c>
    </row>
    <row r="248" spans="1:6" ht="38" customHeight="1">
      <c r="A248" s="4" t="s">
        <v>160</v>
      </c>
      <c r="B248" s="4" t="s">
        <v>161</v>
      </c>
      <c r="C248" s="4" t="s">
        <v>1275</v>
      </c>
      <c r="D248" s="4" t="s">
        <v>1276</v>
      </c>
      <c r="E248" s="4" t="s">
        <v>1261</v>
      </c>
      <c r="F248" s="4" t="s">
        <v>162</v>
      </c>
    </row>
    <row r="249" spans="1:6" ht="38" customHeight="1">
      <c r="A249" s="6" t="s">
        <v>163</v>
      </c>
      <c r="B249" s="6" t="s">
        <v>164</v>
      </c>
      <c r="C249" s="6" t="s">
        <v>1259</v>
      </c>
      <c r="D249" s="6" t="s">
        <v>1340</v>
      </c>
      <c r="E249" s="6" t="s">
        <v>1261</v>
      </c>
      <c r="F249" s="6" t="s">
        <v>165</v>
      </c>
    </row>
    <row r="250" spans="1:6" ht="38" customHeight="1">
      <c r="A250" s="4" t="s">
        <v>163</v>
      </c>
      <c r="B250" s="4" t="s">
        <v>164</v>
      </c>
      <c r="C250" s="4" t="s">
        <v>1262</v>
      </c>
      <c r="D250" s="4" t="s">
        <v>1080</v>
      </c>
      <c r="E250" s="4" t="s">
        <v>1261</v>
      </c>
      <c r="F250" s="4" t="s">
        <v>165</v>
      </c>
    </row>
    <row r="251" spans="1:6" ht="38" customHeight="1">
      <c r="A251" s="6" t="s">
        <v>163</v>
      </c>
      <c r="B251" s="6" t="s">
        <v>164</v>
      </c>
      <c r="C251" s="6" t="s">
        <v>1263</v>
      </c>
      <c r="D251" s="6" t="s">
        <v>1330</v>
      </c>
      <c r="E251" s="6" t="s">
        <v>1261</v>
      </c>
      <c r="F251" s="6" t="s">
        <v>165</v>
      </c>
    </row>
    <row r="252" spans="1:6" ht="38" customHeight="1">
      <c r="A252" s="4" t="s">
        <v>163</v>
      </c>
      <c r="B252" s="4" t="s">
        <v>164</v>
      </c>
      <c r="C252" s="4" t="s">
        <v>1265</v>
      </c>
      <c r="D252" s="4" t="s">
        <v>1331</v>
      </c>
      <c r="E252" s="4" t="s">
        <v>1261</v>
      </c>
      <c r="F252" s="4" t="s">
        <v>165</v>
      </c>
    </row>
    <row r="253" spans="1:6" ht="38" customHeight="1">
      <c r="A253" s="6" t="s">
        <v>163</v>
      </c>
      <c r="B253" s="6" t="s">
        <v>164</v>
      </c>
      <c r="C253" s="6" t="s">
        <v>1267</v>
      </c>
      <c r="D253" s="6" t="s">
        <v>1332</v>
      </c>
      <c r="E253" s="6" t="s">
        <v>1261</v>
      </c>
      <c r="F253" s="6" t="s">
        <v>165</v>
      </c>
    </row>
    <row r="254" spans="1:6" ht="38" customHeight="1">
      <c r="A254" s="4" t="s">
        <v>163</v>
      </c>
      <c r="B254" s="4" t="s">
        <v>164</v>
      </c>
      <c r="C254" s="4" t="s">
        <v>1269</v>
      </c>
      <c r="D254" s="4" t="s">
        <v>1270</v>
      </c>
      <c r="E254" s="4" t="s">
        <v>1261</v>
      </c>
      <c r="F254" s="4" t="s">
        <v>165</v>
      </c>
    </row>
    <row r="255" spans="1:6" ht="38" customHeight="1">
      <c r="A255" s="6" t="s">
        <v>163</v>
      </c>
      <c r="B255" s="6" t="s">
        <v>164</v>
      </c>
      <c r="C255" s="6" t="s">
        <v>1271</v>
      </c>
      <c r="D255" s="6" t="s">
        <v>1307</v>
      </c>
      <c r="E255" s="6" t="s">
        <v>1261</v>
      </c>
      <c r="F255" s="6" t="s">
        <v>165</v>
      </c>
    </row>
    <row r="256" spans="1:6" ht="38" customHeight="1">
      <c r="A256" s="4" t="s">
        <v>163</v>
      </c>
      <c r="B256" s="4" t="s">
        <v>164</v>
      </c>
      <c r="C256" s="4" t="s">
        <v>1273</v>
      </c>
      <c r="D256" s="4" t="s">
        <v>1334</v>
      </c>
      <c r="E256" s="4" t="s">
        <v>1261</v>
      </c>
      <c r="F256" s="4" t="s">
        <v>165</v>
      </c>
    </row>
    <row r="257" spans="1:6" ht="38" customHeight="1">
      <c r="A257" s="6" t="s">
        <v>163</v>
      </c>
      <c r="B257" s="6" t="s">
        <v>164</v>
      </c>
      <c r="C257" s="6" t="s">
        <v>1275</v>
      </c>
      <c r="D257" s="6" t="s">
        <v>1335</v>
      </c>
      <c r="E257" s="6" t="s">
        <v>1261</v>
      </c>
      <c r="F257" s="6" t="s">
        <v>165</v>
      </c>
    </row>
    <row r="258" spans="1:6" ht="38" customHeight="1">
      <c r="A258" s="4" t="s">
        <v>166</v>
      </c>
      <c r="B258" s="4" t="s">
        <v>167</v>
      </c>
      <c r="C258" s="4" t="s">
        <v>1259</v>
      </c>
      <c r="D258" s="4" t="s">
        <v>1341</v>
      </c>
      <c r="E258" s="4" t="s">
        <v>1261</v>
      </c>
      <c r="F258" s="4" t="s">
        <v>168</v>
      </c>
    </row>
    <row r="259" spans="1:6" ht="38" customHeight="1">
      <c r="A259" s="6" t="s">
        <v>166</v>
      </c>
      <c r="B259" s="6" t="s">
        <v>167</v>
      </c>
      <c r="C259" s="6" t="s">
        <v>1262</v>
      </c>
      <c r="D259" s="6" t="s">
        <v>1084</v>
      </c>
      <c r="E259" s="6" t="s">
        <v>1261</v>
      </c>
      <c r="F259" s="6" t="s">
        <v>168</v>
      </c>
    </row>
    <row r="260" spans="1:6" ht="38" customHeight="1">
      <c r="A260" s="4" t="s">
        <v>166</v>
      </c>
      <c r="B260" s="4" t="s">
        <v>167</v>
      </c>
      <c r="C260" s="4" t="s">
        <v>1263</v>
      </c>
      <c r="D260" s="4" t="s">
        <v>1264</v>
      </c>
      <c r="E260" s="4" t="s">
        <v>1261</v>
      </c>
      <c r="F260" s="4" t="s">
        <v>168</v>
      </c>
    </row>
    <row r="261" spans="1:6" ht="38" customHeight="1">
      <c r="A261" s="6" t="s">
        <v>166</v>
      </c>
      <c r="B261" s="6" t="s">
        <v>167</v>
      </c>
      <c r="C261" s="6" t="s">
        <v>1265</v>
      </c>
      <c r="D261" s="6" t="s">
        <v>1266</v>
      </c>
      <c r="E261" s="6" t="s">
        <v>1261</v>
      </c>
      <c r="F261" s="6" t="s">
        <v>168</v>
      </c>
    </row>
    <row r="262" spans="1:6" ht="38" customHeight="1">
      <c r="A262" s="4" t="s">
        <v>166</v>
      </c>
      <c r="B262" s="4" t="s">
        <v>167</v>
      </c>
      <c r="C262" s="4" t="s">
        <v>1267</v>
      </c>
      <c r="D262" s="4" t="s">
        <v>1268</v>
      </c>
      <c r="E262" s="4" t="s">
        <v>1261</v>
      </c>
      <c r="F262" s="4" t="s">
        <v>168</v>
      </c>
    </row>
    <row r="263" spans="1:6" ht="38" customHeight="1">
      <c r="A263" s="6" t="s">
        <v>166</v>
      </c>
      <c r="B263" s="6" t="s">
        <v>167</v>
      </c>
      <c r="C263" s="6" t="s">
        <v>1269</v>
      </c>
      <c r="D263" s="6" t="s">
        <v>1270</v>
      </c>
      <c r="E263" s="6" t="s">
        <v>1261</v>
      </c>
      <c r="F263" s="6" t="s">
        <v>168</v>
      </c>
    </row>
    <row r="264" spans="1:6" ht="38" customHeight="1">
      <c r="A264" s="4" t="s">
        <v>166</v>
      </c>
      <c r="B264" s="4" t="s">
        <v>167</v>
      </c>
      <c r="C264" s="4" t="s">
        <v>1271</v>
      </c>
      <c r="D264" s="4" t="s">
        <v>1342</v>
      </c>
      <c r="E264" s="4" t="s">
        <v>1261</v>
      </c>
      <c r="F264" s="4" t="s">
        <v>168</v>
      </c>
    </row>
    <row r="265" spans="1:6" ht="38" customHeight="1">
      <c r="A265" s="6" t="s">
        <v>166</v>
      </c>
      <c r="B265" s="6" t="s">
        <v>167</v>
      </c>
      <c r="C265" s="6" t="s">
        <v>1273</v>
      </c>
      <c r="D265" s="6" t="s">
        <v>1274</v>
      </c>
      <c r="E265" s="6" t="s">
        <v>1261</v>
      </c>
      <c r="F265" s="6" t="s">
        <v>168</v>
      </c>
    </row>
    <row r="266" spans="1:6" ht="38" customHeight="1">
      <c r="A266" s="4" t="s">
        <v>166</v>
      </c>
      <c r="B266" s="4" t="s">
        <v>167</v>
      </c>
      <c r="C266" s="4" t="s">
        <v>1275</v>
      </c>
      <c r="D266" s="4" t="s">
        <v>1276</v>
      </c>
      <c r="E266" s="4" t="s">
        <v>1261</v>
      </c>
      <c r="F266" s="4" t="s">
        <v>168</v>
      </c>
    </row>
    <row r="267" spans="1:6" ht="38" customHeight="1">
      <c r="A267" s="6" t="s">
        <v>169</v>
      </c>
      <c r="B267" s="6" t="s">
        <v>170</v>
      </c>
      <c r="C267" s="6" t="s">
        <v>1259</v>
      </c>
      <c r="D267" s="6" t="s">
        <v>1343</v>
      </c>
      <c r="E267" s="6" t="s">
        <v>1261</v>
      </c>
      <c r="F267" s="6" t="s">
        <v>171</v>
      </c>
    </row>
    <row r="268" spans="1:6" ht="38" customHeight="1">
      <c r="A268" s="4" t="s">
        <v>169</v>
      </c>
      <c r="B268" s="4" t="s">
        <v>170</v>
      </c>
      <c r="C268" s="4" t="s">
        <v>1262</v>
      </c>
      <c r="D268" s="4" t="s">
        <v>1089</v>
      </c>
      <c r="E268" s="4" t="s">
        <v>1261</v>
      </c>
      <c r="F268" s="4" t="s">
        <v>171</v>
      </c>
    </row>
    <row r="269" spans="1:6" ht="38" customHeight="1">
      <c r="A269" s="6" t="s">
        <v>169</v>
      </c>
      <c r="B269" s="6" t="s">
        <v>170</v>
      </c>
      <c r="C269" s="6" t="s">
        <v>1263</v>
      </c>
      <c r="D269" s="6" t="s">
        <v>1289</v>
      </c>
      <c r="E269" s="6" t="s">
        <v>1261</v>
      </c>
      <c r="F269" s="6" t="s">
        <v>171</v>
      </c>
    </row>
    <row r="270" spans="1:6" ht="38" customHeight="1">
      <c r="A270" s="4" t="s">
        <v>169</v>
      </c>
      <c r="B270" s="4" t="s">
        <v>170</v>
      </c>
      <c r="C270" s="4" t="s">
        <v>1265</v>
      </c>
      <c r="D270" s="4" t="s">
        <v>1290</v>
      </c>
      <c r="E270" s="4" t="s">
        <v>1261</v>
      </c>
      <c r="F270" s="4" t="s">
        <v>171</v>
      </c>
    </row>
    <row r="271" spans="1:6" ht="38" customHeight="1">
      <c r="A271" s="6" t="s">
        <v>169</v>
      </c>
      <c r="B271" s="6" t="s">
        <v>170</v>
      </c>
      <c r="C271" s="6" t="s">
        <v>1267</v>
      </c>
      <c r="D271" s="6" t="s">
        <v>1291</v>
      </c>
      <c r="E271" s="6" t="s">
        <v>1261</v>
      </c>
      <c r="F271" s="6" t="s">
        <v>171</v>
      </c>
    </row>
    <row r="272" spans="1:6" ht="38" customHeight="1">
      <c r="A272" s="4" t="s">
        <v>169</v>
      </c>
      <c r="B272" s="4" t="s">
        <v>170</v>
      </c>
      <c r="C272" s="4" t="s">
        <v>1269</v>
      </c>
      <c r="D272" s="4" t="s">
        <v>1292</v>
      </c>
      <c r="E272" s="4" t="s">
        <v>1261</v>
      </c>
      <c r="F272" s="4" t="s">
        <v>171</v>
      </c>
    </row>
    <row r="273" spans="1:6" ht="38" customHeight="1">
      <c r="A273" s="6" t="s">
        <v>169</v>
      </c>
      <c r="B273" s="6" t="s">
        <v>170</v>
      </c>
      <c r="C273" s="6" t="s">
        <v>1271</v>
      </c>
      <c r="D273" s="6" t="s">
        <v>1344</v>
      </c>
      <c r="E273" s="6" t="s">
        <v>1261</v>
      </c>
      <c r="F273" s="6" t="s">
        <v>171</v>
      </c>
    </row>
    <row r="274" spans="1:6" ht="38" customHeight="1">
      <c r="A274" s="4" t="s">
        <v>169</v>
      </c>
      <c r="B274" s="4" t="s">
        <v>170</v>
      </c>
      <c r="C274" s="4" t="s">
        <v>1273</v>
      </c>
      <c r="D274" s="4" t="s">
        <v>1294</v>
      </c>
      <c r="E274" s="4" t="s">
        <v>1261</v>
      </c>
      <c r="F274" s="4" t="s">
        <v>171</v>
      </c>
    </row>
    <row r="275" spans="1:6" ht="38" customHeight="1">
      <c r="A275" s="6" t="s">
        <v>169</v>
      </c>
      <c r="B275" s="6" t="s">
        <v>170</v>
      </c>
      <c r="C275" s="6" t="s">
        <v>1275</v>
      </c>
      <c r="D275" s="6" t="s">
        <v>1295</v>
      </c>
      <c r="E275" s="6" t="s">
        <v>1261</v>
      </c>
      <c r="F275" s="6" t="s">
        <v>171</v>
      </c>
    </row>
    <row r="276" spans="1:6" ht="38" customHeight="1">
      <c r="A276" s="4" t="s">
        <v>172</v>
      </c>
      <c r="B276" s="4" t="s">
        <v>173</v>
      </c>
      <c r="C276" s="4" t="s">
        <v>1259</v>
      </c>
      <c r="D276" s="4" t="s">
        <v>1345</v>
      </c>
      <c r="E276" s="4" t="s">
        <v>1261</v>
      </c>
      <c r="F276" s="4" t="s">
        <v>174</v>
      </c>
    </row>
    <row r="277" spans="1:6" ht="38" customHeight="1">
      <c r="A277" s="6" t="s">
        <v>172</v>
      </c>
      <c r="B277" s="6" t="s">
        <v>173</v>
      </c>
      <c r="C277" s="6" t="s">
        <v>1262</v>
      </c>
      <c r="D277" s="6" t="s">
        <v>1094</v>
      </c>
      <c r="E277" s="6" t="s">
        <v>1261</v>
      </c>
      <c r="F277" s="6" t="s">
        <v>174</v>
      </c>
    </row>
    <row r="278" spans="1:6" ht="38" customHeight="1">
      <c r="A278" s="4" t="s">
        <v>172</v>
      </c>
      <c r="B278" s="4" t="s">
        <v>173</v>
      </c>
      <c r="C278" s="4" t="s">
        <v>1263</v>
      </c>
      <c r="D278" s="4" t="s">
        <v>1264</v>
      </c>
      <c r="E278" s="4" t="s">
        <v>1261</v>
      </c>
      <c r="F278" s="4" t="s">
        <v>174</v>
      </c>
    </row>
    <row r="279" spans="1:6" ht="38" customHeight="1">
      <c r="A279" s="6" t="s">
        <v>172</v>
      </c>
      <c r="B279" s="6" t="s">
        <v>173</v>
      </c>
      <c r="C279" s="6" t="s">
        <v>1265</v>
      </c>
      <c r="D279" s="6" t="s">
        <v>1266</v>
      </c>
      <c r="E279" s="6" t="s">
        <v>1261</v>
      </c>
      <c r="F279" s="6" t="s">
        <v>174</v>
      </c>
    </row>
    <row r="280" spans="1:6" ht="38" customHeight="1">
      <c r="A280" s="4" t="s">
        <v>172</v>
      </c>
      <c r="B280" s="4" t="s">
        <v>173</v>
      </c>
      <c r="C280" s="4" t="s">
        <v>1267</v>
      </c>
      <c r="D280" s="4" t="s">
        <v>1268</v>
      </c>
      <c r="E280" s="4" t="s">
        <v>1261</v>
      </c>
      <c r="F280" s="4" t="s">
        <v>174</v>
      </c>
    </row>
    <row r="281" spans="1:6" ht="38" customHeight="1">
      <c r="A281" s="6" t="s">
        <v>172</v>
      </c>
      <c r="B281" s="6" t="s">
        <v>173</v>
      </c>
      <c r="C281" s="6" t="s">
        <v>1269</v>
      </c>
      <c r="D281" s="6" t="s">
        <v>1270</v>
      </c>
      <c r="E281" s="6" t="s">
        <v>1261</v>
      </c>
      <c r="F281" s="6" t="s">
        <v>174</v>
      </c>
    </row>
    <row r="282" spans="1:6" ht="38" customHeight="1">
      <c r="A282" s="4" t="s">
        <v>172</v>
      </c>
      <c r="B282" s="4" t="s">
        <v>173</v>
      </c>
      <c r="C282" s="4" t="s">
        <v>1271</v>
      </c>
      <c r="D282" s="4" t="s">
        <v>1307</v>
      </c>
      <c r="E282" s="4" t="s">
        <v>1261</v>
      </c>
      <c r="F282" s="4" t="s">
        <v>174</v>
      </c>
    </row>
    <row r="283" spans="1:6" ht="38" customHeight="1">
      <c r="A283" s="6" t="s">
        <v>172</v>
      </c>
      <c r="B283" s="6" t="s">
        <v>173</v>
      </c>
      <c r="C283" s="6" t="s">
        <v>1273</v>
      </c>
      <c r="D283" s="6" t="s">
        <v>1274</v>
      </c>
      <c r="E283" s="6" t="s">
        <v>1261</v>
      </c>
      <c r="F283" s="6" t="s">
        <v>174</v>
      </c>
    </row>
    <row r="284" spans="1:6" ht="38" customHeight="1">
      <c r="A284" s="4" t="s">
        <v>172</v>
      </c>
      <c r="B284" s="4" t="s">
        <v>173</v>
      </c>
      <c r="C284" s="4" t="s">
        <v>1275</v>
      </c>
      <c r="D284" s="4" t="s">
        <v>1276</v>
      </c>
      <c r="E284" s="4" t="s">
        <v>1261</v>
      </c>
      <c r="F284" s="4" t="s">
        <v>174</v>
      </c>
    </row>
    <row r="285" spans="1:6" ht="38" customHeight="1">
      <c r="A285" s="6" t="s">
        <v>175</v>
      </c>
      <c r="B285" s="6" t="s">
        <v>176</v>
      </c>
      <c r="C285" s="6" t="s">
        <v>1259</v>
      </c>
      <c r="D285" s="6" t="s">
        <v>1346</v>
      </c>
      <c r="E285" s="6" t="s">
        <v>1261</v>
      </c>
      <c r="F285" s="6" t="s">
        <v>177</v>
      </c>
    </row>
    <row r="286" spans="1:6" ht="38" customHeight="1">
      <c r="A286" s="4" t="s">
        <v>175</v>
      </c>
      <c r="B286" s="4" t="s">
        <v>176</v>
      </c>
      <c r="C286" s="4" t="s">
        <v>1262</v>
      </c>
      <c r="D286" s="4" t="s">
        <v>1098</v>
      </c>
      <c r="E286" s="4" t="s">
        <v>1261</v>
      </c>
      <c r="F286" s="4" t="s">
        <v>177</v>
      </c>
    </row>
    <row r="287" spans="1:6" ht="38" customHeight="1">
      <c r="A287" s="6" t="s">
        <v>175</v>
      </c>
      <c r="B287" s="6" t="s">
        <v>176</v>
      </c>
      <c r="C287" s="6" t="s">
        <v>1263</v>
      </c>
      <c r="D287" s="6" t="s">
        <v>1264</v>
      </c>
      <c r="E287" s="6" t="s">
        <v>1261</v>
      </c>
      <c r="F287" s="6" t="s">
        <v>177</v>
      </c>
    </row>
    <row r="288" spans="1:6" ht="38" customHeight="1">
      <c r="A288" s="4" t="s">
        <v>175</v>
      </c>
      <c r="B288" s="4" t="s">
        <v>176</v>
      </c>
      <c r="C288" s="4" t="s">
        <v>1265</v>
      </c>
      <c r="D288" s="4" t="s">
        <v>1266</v>
      </c>
      <c r="E288" s="4" t="s">
        <v>1261</v>
      </c>
      <c r="F288" s="4" t="s">
        <v>177</v>
      </c>
    </row>
    <row r="289" spans="1:6" ht="38" customHeight="1">
      <c r="A289" s="6" t="s">
        <v>175</v>
      </c>
      <c r="B289" s="6" t="s">
        <v>176</v>
      </c>
      <c r="C289" s="6" t="s">
        <v>1267</v>
      </c>
      <c r="D289" s="6" t="s">
        <v>1268</v>
      </c>
      <c r="E289" s="6" t="s">
        <v>1261</v>
      </c>
      <c r="F289" s="6" t="s">
        <v>177</v>
      </c>
    </row>
    <row r="290" spans="1:6" ht="38" customHeight="1">
      <c r="A290" s="4" t="s">
        <v>175</v>
      </c>
      <c r="B290" s="4" t="s">
        <v>176</v>
      </c>
      <c r="C290" s="4" t="s">
        <v>1269</v>
      </c>
      <c r="D290" s="4" t="s">
        <v>1270</v>
      </c>
      <c r="E290" s="4" t="s">
        <v>1261</v>
      </c>
      <c r="F290" s="4" t="s">
        <v>177</v>
      </c>
    </row>
    <row r="291" spans="1:6" ht="38" customHeight="1">
      <c r="A291" s="6" t="s">
        <v>175</v>
      </c>
      <c r="B291" s="6" t="s">
        <v>176</v>
      </c>
      <c r="C291" s="6" t="s">
        <v>1271</v>
      </c>
      <c r="D291" s="6" t="s">
        <v>1307</v>
      </c>
      <c r="E291" s="6" t="s">
        <v>1261</v>
      </c>
      <c r="F291" s="6" t="s">
        <v>177</v>
      </c>
    </row>
    <row r="292" spans="1:6" ht="38" customHeight="1">
      <c r="A292" s="4" t="s">
        <v>175</v>
      </c>
      <c r="B292" s="4" t="s">
        <v>176</v>
      </c>
      <c r="C292" s="4" t="s">
        <v>1273</v>
      </c>
      <c r="D292" s="4" t="s">
        <v>1274</v>
      </c>
      <c r="E292" s="4" t="s">
        <v>1261</v>
      </c>
      <c r="F292" s="4" t="s">
        <v>177</v>
      </c>
    </row>
    <row r="293" spans="1:6" ht="38" customHeight="1">
      <c r="A293" s="6" t="s">
        <v>175</v>
      </c>
      <c r="B293" s="6" t="s">
        <v>176</v>
      </c>
      <c r="C293" s="6" t="s">
        <v>1275</v>
      </c>
      <c r="D293" s="6" t="s">
        <v>1276</v>
      </c>
      <c r="E293" s="6" t="s">
        <v>1261</v>
      </c>
      <c r="F293" s="6" t="s">
        <v>177</v>
      </c>
    </row>
    <row r="294" spans="1:6" ht="38" customHeight="1">
      <c r="A294" s="4" t="s">
        <v>178</v>
      </c>
      <c r="B294" s="4" t="s">
        <v>179</v>
      </c>
      <c r="C294" s="4" t="s">
        <v>1259</v>
      </c>
      <c r="D294" s="4" t="s">
        <v>1347</v>
      </c>
      <c r="E294" s="4" t="s">
        <v>1261</v>
      </c>
      <c r="F294" s="4" t="s">
        <v>181</v>
      </c>
    </row>
    <row r="295" spans="1:6" ht="38" customHeight="1">
      <c r="A295" s="6" t="s">
        <v>178</v>
      </c>
      <c r="B295" s="6" t="s">
        <v>179</v>
      </c>
      <c r="C295" s="6" t="s">
        <v>1262</v>
      </c>
      <c r="D295" s="6" t="s">
        <v>1101</v>
      </c>
      <c r="E295" s="6" t="s">
        <v>1261</v>
      </c>
      <c r="F295" s="6" t="s">
        <v>181</v>
      </c>
    </row>
    <row r="296" spans="1:6" ht="38" customHeight="1">
      <c r="A296" s="4" t="s">
        <v>178</v>
      </c>
      <c r="B296" s="4" t="s">
        <v>179</v>
      </c>
      <c r="C296" s="4" t="s">
        <v>1263</v>
      </c>
      <c r="D296" s="4" t="s">
        <v>1264</v>
      </c>
      <c r="E296" s="4" t="s">
        <v>1261</v>
      </c>
      <c r="F296" s="4" t="s">
        <v>181</v>
      </c>
    </row>
    <row r="297" spans="1:6" ht="38" customHeight="1">
      <c r="A297" s="6" t="s">
        <v>178</v>
      </c>
      <c r="B297" s="6" t="s">
        <v>179</v>
      </c>
      <c r="C297" s="6" t="s">
        <v>1265</v>
      </c>
      <c r="D297" s="6" t="s">
        <v>1266</v>
      </c>
      <c r="E297" s="6" t="s">
        <v>1261</v>
      </c>
      <c r="F297" s="6" t="s">
        <v>181</v>
      </c>
    </row>
    <row r="298" spans="1:6" ht="38" customHeight="1">
      <c r="A298" s="4" t="s">
        <v>178</v>
      </c>
      <c r="B298" s="4" t="s">
        <v>179</v>
      </c>
      <c r="C298" s="4" t="s">
        <v>1267</v>
      </c>
      <c r="D298" s="4" t="s">
        <v>1268</v>
      </c>
      <c r="E298" s="4" t="s">
        <v>1261</v>
      </c>
      <c r="F298" s="4" t="s">
        <v>181</v>
      </c>
    </row>
    <row r="299" spans="1:6" ht="38" customHeight="1">
      <c r="A299" s="6" t="s">
        <v>178</v>
      </c>
      <c r="B299" s="6" t="s">
        <v>179</v>
      </c>
      <c r="C299" s="6" t="s">
        <v>1269</v>
      </c>
      <c r="D299" s="6" t="s">
        <v>1270</v>
      </c>
      <c r="E299" s="6" t="s">
        <v>1261</v>
      </c>
      <c r="F299" s="6" t="s">
        <v>181</v>
      </c>
    </row>
    <row r="300" spans="1:6" ht="38" customHeight="1">
      <c r="A300" s="4" t="s">
        <v>178</v>
      </c>
      <c r="B300" s="4" t="s">
        <v>179</v>
      </c>
      <c r="C300" s="4" t="s">
        <v>1271</v>
      </c>
      <c r="D300" s="4" t="s">
        <v>1348</v>
      </c>
      <c r="E300" s="4" t="s">
        <v>1261</v>
      </c>
      <c r="F300" s="4" t="s">
        <v>181</v>
      </c>
    </row>
    <row r="301" spans="1:6" ht="38" customHeight="1">
      <c r="A301" s="6" t="s">
        <v>178</v>
      </c>
      <c r="B301" s="6" t="s">
        <v>179</v>
      </c>
      <c r="C301" s="6" t="s">
        <v>1273</v>
      </c>
      <c r="D301" s="6" t="s">
        <v>1274</v>
      </c>
      <c r="E301" s="6" t="s">
        <v>1261</v>
      </c>
      <c r="F301" s="6" t="s">
        <v>181</v>
      </c>
    </row>
    <row r="302" spans="1:6" ht="38" customHeight="1">
      <c r="A302" s="4" t="s">
        <v>178</v>
      </c>
      <c r="B302" s="4" t="s">
        <v>179</v>
      </c>
      <c r="C302" s="4" t="s">
        <v>1275</v>
      </c>
      <c r="D302" s="4" t="s">
        <v>1276</v>
      </c>
      <c r="E302" s="4" t="s">
        <v>1261</v>
      </c>
      <c r="F302" s="4" t="s">
        <v>181</v>
      </c>
    </row>
    <row r="303" spans="1:6" ht="38" customHeight="1">
      <c r="A303" s="6" t="s">
        <v>182</v>
      </c>
      <c r="B303" s="6" t="s">
        <v>183</v>
      </c>
      <c r="C303" s="6" t="s">
        <v>1259</v>
      </c>
      <c r="D303" s="6" t="s">
        <v>1349</v>
      </c>
      <c r="E303" s="6" t="s">
        <v>1261</v>
      </c>
      <c r="F303" s="6" t="s">
        <v>185</v>
      </c>
    </row>
    <row r="304" spans="1:6" ht="38" customHeight="1">
      <c r="A304" s="4" t="s">
        <v>182</v>
      </c>
      <c r="B304" s="4" t="s">
        <v>183</v>
      </c>
      <c r="C304" s="4" t="s">
        <v>1262</v>
      </c>
      <c r="D304" s="4" t="s">
        <v>1106</v>
      </c>
      <c r="E304" s="4" t="s">
        <v>1261</v>
      </c>
      <c r="F304" s="4" t="s">
        <v>185</v>
      </c>
    </row>
    <row r="305" spans="1:6" ht="38" customHeight="1">
      <c r="A305" s="6" t="s">
        <v>182</v>
      </c>
      <c r="B305" s="6" t="s">
        <v>183</v>
      </c>
      <c r="C305" s="6" t="s">
        <v>1263</v>
      </c>
      <c r="D305" s="6" t="s">
        <v>1264</v>
      </c>
      <c r="E305" s="6" t="s">
        <v>1261</v>
      </c>
      <c r="F305" s="6" t="s">
        <v>185</v>
      </c>
    </row>
    <row r="306" spans="1:6" ht="38" customHeight="1">
      <c r="A306" s="4" t="s">
        <v>182</v>
      </c>
      <c r="B306" s="4" t="s">
        <v>183</v>
      </c>
      <c r="C306" s="4" t="s">
        <v>1265</v>
      </c>
      <c r="D306" s="4" t="s">
        <v>1266</v>
      </c>
      <c r="E306" s="4" t="s">
        <v>1261</v>
      </c>
      <c r="F306" s="4" t="s">
        <v>185</v>
      </c>
    </row>
    <row r="307" spans="1:6" ht="38" customHeight="1">
      <c r="A307" s="6" t="s">
        <v>182</v>
      </c>
      <c r="B307" s="6" t="s">
        <v>183</v>
      </c>
      <c r="C307" s="6" t="s">
        <v>1267</v>
      </c>
      <c r="D307" s="6" t="s">
        <v>1268</v>
      </c>
      <c r="E307" s="6" t="s">
        <v>1261</v>
      </c>
      <c r="F307" s="6" t="s">
        <v>185</v>
      </c>
    </row>
    <row r="308" spans="1:6" ht="38" customHeight="1">
      <c r="A308" s="4" t="s">
        <v>182</v>
      </c>
      <c r="B308" s="4" t="s">
        <v>183</v>
      </c>
      <c r="C308" s="4" t="s">
        <v>1269</v>
      </c>
      <c r="D308" s="4" t="s">
        <v>1270</v>
      </c>
      <c r="E308" s="4" t="s">
        <v>1261</v>
      </c>
      <c r="F308" s="4" t="s">
        <v>185</v>
      </c>
    </row>
    <row r="309" spans="1:6" ht="38" customHeight="1">
      <c r="A309" s="6" t="s">
        <v>182</v>
      </c>
      <c r="B309" s="6" t="s">
        <v>183</v>
      </c>
      <c r="C309" s="6" t="s">
        <v>1271</v>
      </c>
      <c r="D309" s="6" t="s">
        <v>1307</v>
      </c>
      <c r="E309" s="6" t="s">
        <v>1261</v>
      </c>
      <c r="F309" s="6" t="s">
        <v>185</v>
      </c>
    </row>
    <row r="310" spans="1:6" ht="38" customHeight="1">
      <c r="A310" s="4" t="s">
        <v>182</v>
      </c>
      <c r="B310" s="4" t="s">
        <v>183</v>
      </c>
      <c r="C310" s="4" t="s">
        <v>1273</v>
      </c>
      <c r="D310" s="4" t="s">
        <v>1274</v>
      </c>
      <c r="E310" s="4" t="s">
        <v>1261</v>
      </c>
      <c r="F310" s="4" t="s">
        <v>185</v>
      </c>
    </row>
    <row r="311" spans="1:6" ht="38" customHeight="1">
      <c r="A311" s="6" t="s">
        <v>182</v>
      </c>
      <c r="B311" s="6" t="s">
        <v>183</v>
      </c>
      <c r="C311" s="6" t="s">
        <v>1275</v>
      </c>
      <c r="D311" s="6" t="s">
        <v>1276</v>
      </c>
      <c r="E311" s="6" t="s">
        <v>1261</v>
      </c>
      <c r="F311" s="6" t="s">
        <v>185</v>
      </c>
    </row>
    <row r="312" spans="1:6" ht="38" customHeight="1">
      <c r="A312" s="4" t="s">
        <v>186</v>
      </c>
      <c r="B312" s="4" t="s">
        <v>187</v>
      </c>
      <c r="C312" s="4" t="s">
        <v>1259</v>
      </c>
      <c r="D312" s="4" t="s">
        <v>1350</v>
      </c>
      <c r="E312" s="4" t="s">
        <v>1261</v>
      </c>
      <c r="F312" s="4" t="s">
        <v>188</v>
      </c>
    </row>
    <row r="313" spans="1:6" ht="38" customHeight="1">
      <c r="A313" s="6" t="s">
        <v>186</v>
      </c>
      <c r="B313" s="6" t="s">
        <v>187</v>
      </c>
      <c r="C313" s="6" t="s">
        <v>1262</v>
      </c>
      <c r="D313" s="6" t="s">
        <v>1109</v>
      </c>
      <c r="E313" s="6" t="s">
        <v>1261</v>
      </c>
      <c r="F313" s="6" t="s">
        <v>188</v>
      </c>
    </row>
    <row r="314" spans="1:6" ht="38" customHeight="1">
      <c r="A314" s="4" t="s">
        <v>186</v>
      </c>
      <c r="B314" s="4" t="s">
        <v>187</v>
      </c>
      <c r="C314" s="4" t="s">
        <v>1263</v>
      </c>
      <c r="D314" s="4" t="s">
        <v>1264</v>
      </c>
      <c r="E314" s="4" t="s">
        <v>1261</v>
      </c>
      <c r="F314" s="4" t="s">
        <v>188</v>
      </c>
    </row>
    <row r="315" spans="1:6" ht="38" customHeight="1">
      <c r="A315" s="6" t="s">
        <v>186</v>
      </c>
      <c r="B315" s="6" t="s">
        <v>187</v>
      </c>
      <c r="C315" s="6" t="s">
        <v>1265</v>
      </c>
      <c r="D315" s="6" t="s">
        <v>1266</v>
      </c>
      <c r="E315" s="6" t="s">
        <v>1261</v>
      </c>
      <c r="F315" s="6" t="s">
        <v>188</v>
      </c>
    </row>
    <row r="316" spans="1:6" ht="38" customHeight="1">
      <c r="A316" s="4" t="s">
        <v>186</v>
      </c>
      <c r="B316" s="4" t="s">
        <v>187</v>
      </c>
      <c r="C316" s="4" t="s">
        <v>1267</v>
      </c>
      <c r="D316" s="4" t="s">
        <v>1268</v>
      </c>
      <c r="E316" s="4" t="s">
        <v>1261</v>
      </c>
      <c r="F316" s="4" t="s">
        <v>188</v>
      </c>
    </row>
    <row r="317" spans="1:6" ht="38" customHeight="1">
      <c r="A317" s="6" t="s">
        <v>186</v>
      </c>
      <c r="B317" s="6" t="s">
        <v>187</v>
      </c>
      <c r="C317" s="6" t="s">
        <v>1269</v>
      </c>
      <c r="D317" s="6" t="s">
        <v>1270</v>
      </c>
      <c r="E317" s="6" t="s">
        <v>1261</v>
      </c>
      <c r="F317" s="6" t="s">
        <v>188</v>
      </c>
    </row>
    <row r="318" spans="1:6" ht="38" customHeight="1">
      <c r="A318" s="4" t="s">
        <v>186</v>
      </c>
      <c r="B318" s="4" t="s">
        <v>187</v>
      </c>
      <c r="C318" s="4" t="s">
        <v>1271</v>
      </c>
      <c r="D318" s="4" t="s">
        <v>1307</v>
      </c>
      <c r="E318" s="4" t="s">
        <v>1261</v>
      </c>
      <c r="F318" s="4" t="s">
        <v>188</v>
      </c>
    </row>
    <row r="319" spans="1:6" ht="38" customHeight="1">
      <c r="A319" s="6" t="s">
        <v>186</v>
      </c>
      <c r="B319" s="6" t="s">
        <v>187</v>
      </c>
      <c r="C319" s="6" t="s">
        <v>1273</v>
      </c>
      <c r="D319" s="6" t="s">
        <v>1274</v>
      </c>
      <c r="E319" s="6" t="s">
        <v>1261</v>
      </c>
      <c r="F319" s="6" t="s">
        <v>188</v>
      </c>
    </row>
    <row r="320" spans="1:6" ht="38" customHeight="1">
      <c r="A320" s="4" t="s">
        <v>186</v>
      </c>
      <c r="B320" s="4" t="s">
        <v>187</v>
      </c>
      <c r="C320" s="4" t="s">
        <v>1275</v>
      </c>
      <c r="D320" s="4" t="s">
        <v>1276</v>
      </c>
      <c r="E320" s="4" t="s">
        <v>1261</v>
      </c>
      <c r="F320" s="4" t="s">
        <v>188</v>
      </c>
    </row>
    <row r="321" spans="1:6" ht="38" customHeight="1">
      <c r="A321" s="6" t="s">
        <v>189</v>
      </c>
      <c r="B321" s="6" t="s">
        <v>190</v>
      </c>
      <c r="C321" s="6" t="s">
        <v>1259</v>
      </c>
      <c r="D321" s="6" t="s">
        <v>1351</v>
      </c>
      <c r="E321" s="6" t="s">
        <v>1261</v>
      </c>
      <c r="F321" s="6" t="s">
        <v>192</v>
      </c>
    </row>
    <row r="322" spans="1:6" ht="38" customHeight="1">
      <c r="A322" s="4" t="s">
        <v>189</v>
      </c>
      <c r="B322" s="4" t="s">
        <v>190</v>
      </c>
      <c r="C322" s="4" t="s">
        <v>1262</v>
      </c>
      <c r="D322" s="4" t="s">
        <v>1112</v>
      </c>
      <c r="E322" s="4" t="s">
        <v>1261</v>
      </c>
      <c r="F322" s="4" t="s">
        <v>192</v>
      </c>
    </row>
    <row r="323" spans="1:6" ht="38" customHeight="1">
      <c r="A323" s="6" t="s">
        <v>189</v>
      </c>
      <c r="B323" s="6" t="s">
        <v>190</v>
      </c>
      <c r="C323" s="6" t="s">
        <v>1263</v>
      </c>
      <c r="D323" s="6" t="s">
        <v>1282</v>
      </c>
      <c r="E323" s="6" t="s">
        <v>1261</v>
      </c>
      <c r="F323" s="6" t="s">
        <v>192</v>
      </c>
    </row>
    <row r="324" spans="1:6" ht="38" customHeight="1">
      <c r="A324" s="4" t="s">
        <v>189</v>
      </c>
      <c r="B324" s="4" t="s">
        <v>190</v>
      </c>
      <c r="C324" s="4" t="s">
        <v>1265</v>
      </c>
      <c r="D324" s="4" t="s">
        <v>1283</v>
      </c>
      <c r="E324" s="4" t="s">
        <v>1261</v>
      </c>
      <c r="F324" s="4" t="s">
        <v>192</v>
      </c>
    </row>
    <row r="325" spans="1:6" ht="38" customHeight="1">
      <c r="A325" s="6" t="s">
        <v>189</v>
      </c>
      <c r="B325" s="6" t="s">
        <v>190</v>
      </c>
      <c r="C325" s="6" t="s">
        <v>1267</v>
      </c>
      <c r="D325" s="6" t="s">
        <v>1284</v>
      </c>
      <c r="E325" s="6" t="s">
        <v>1261</v>
      </c>
      <c r="F325" s="6" t="s">
        <v>192</v>
      </c>
    </row>
    <row r="326" spans="1:6" ht="38" customHeight="1">
      <c r="A326" s="4" t="s">
        <v>189</v>
      </c>
      <c r="B326" s="4" t="s">
        <v>190</v>
      </c>
      <c r="C326" s="4" t="s">
        <v>1269</v>
      </c>
      <c r="D326" s="4" t="s">
        <v>1270</v>
      </c>
      <c r="E326" s="4" t="s">
        <v>1261</v>
      </c>
      <c r="F326" s="4" t="s">
        <v>192</v>
      </c>
    </row>
    <row r="327" spans="1:6" ht="38" customHeight="1">
      <c r="A327" s="6" t="s">
        <v>189</v>
      </c>
      <c r="B327" s="6" t="s">
        <v>190</v>
      </c>
      <c r="C327" s="6" t="s">
        <v>1271</v>
      </c>
      <c r="D327" s="6" t="s">
        <v>1307</v>
      </c>
      <c r="E327" s="6" t="s">
        <v>1261</v>
      </c>
      <c r="F327" s="6" t="s">
        <v>192</v>
      </c>
    </row>
    <row r="328" spans="1:6" ht="38" customHeight="1">
      <c r="A328" s="4" t="s">
        <v>189</v>
      </c>
      <c r="B328" s="4" t="s">
        <v>190</v>
      </c>
      <c r="C328" s="4" t="s">
        <v>1273</v>
      </c>
      <c r="D328" s="4" t="s">
        <v>1286</v>
      </c>
      <c r="E328" s="4" t="s">
        <v>1261</v>
      </c>
      <c r="F328" s="4" t="s">
        <v>192</v>
      </c>
    </row>
    <row r="329" spans="1:6" ht="38" customHeight="1">
      <c r="A329" s="6" t="s">
        <v>189</v>
      </c>
      <c r="B329" s="6" t="s">
        <v>190</v>
      </c>
      <c r="C329" s="6" t="s">
        <v>1275</v>
      </c>
      <c r="D329" s="6" t="s">
        <v>1287</v>
      </c>
      <c r="E329" s="6" t="s">
        <v>1261</v>
      </c>
      <c r="F329" s="6" t="s">
        <v>192</v>
      </c>
    </row>
    <row r="330" spans="1:6" ht="38" customHeight="1">
      <c r="A330" s="4" t="s">
        <v>193</v>
      </c>
      <c r="B330" s="4" t="s">
        <v>194</v>
      </c>
      <c r="C330" s="4" t="s">
        <v>1259</v>
      </c>
      <c r="D330" s="4" t="s">
        <v>1352</v>
      </c>
      <c r="E330" s="4" t="s">
        <v>1261</v>
      </c>
      <c r="F330" s="4" t="s">
        <v>195</v>
      </c>
    </row>
    <row r="331" spans="1:6" ht="38" customHeight="1">
      <c r="A331" s="6" t="s">
        <v>193</v>
      </c>
      <c r="B331" s="6" t="s">
        <v>194</v>
      </c>
      <c r="C331" s="6" t="s">
        <v>1262</v>
      </c>
      <c r="D331" s="6" t="s">
        <v>1115</v>
      </c>
      <c r="E331" s="6" t="s">
        <v>1261</v>
      </c>
      <c r="F331" s="6" t="s">
        <v>195</v>
      </c>
    </row>
    <row r="332" spans="1:6" ht="38" customHeight="1">
      <c r="A332" s="4" t="s">
        <v>193</v>
      </c>
      <c r="B332" s="4" t="s">
        <v>194</v>
      </c>
      <c r="C332" s="4" t="s">
        <v>1263</v>
      </c>
      <c r="D332" s="4" t="s">
        <v>1264</v>
      </c>
      <c r="E332" s="4" t="s">
        <v>1261</v>
      </c>
      <c r="F332" s="4" t="s">
        <v>195</v>
      </c>
    </row>
    <row r="333" spans="1:6" ht="38" customHeight="1">
      <c r="A333" s="6" t="s">
        <v>193</v>
      </c>
      <c r="B333" s="6" t="s">
        <v>194</v>
      </c>
      <c r="C333" s="6" t="s">
        <v>1265</v>
      </c>
      <c r="D333" s="6" t="s">
        <v>1266</v>
      </c>
      <c r="E333" s="6" t="s">
        <v>1261</v>
      </c>
      <c r="F333" s="6" t="s">
        <v>195</v>
      </c>
    </row>
    <row r="334" spans="1:6" ht="38" customHeight="1">
      <c r="A334" s="4" t="s">
        <v>193</v>
      </c>
      <c r="B334" s="4" t="s">
        <v>194</v>
      </c>
      <c r="C334" s="4" t="s">
        <v>1267</v>
      </c>
      <c r="D334" s="4" t="s">
        <v>1268</v>
      </c>
      <c r="E334" s="4" t="s">
        <v>1261</v>
      </c>
      <c r="F334" s="4" t="s">
        <v>195</v>
      </c>
    </row>
    <row r="335" spans="1:6" ht="38" customHeight="1">
      <c r="A335" s="6" t="s">
        <v>193</v>
      </c>
      <c r="B335" s="6" t="s">
        <v>194</v>
      </c>
      <c r="C335" s="6" t="s">
        <v>1269</v>
      </c>
      <c r="D335" s="6" t="s">
        <v>1270</v>
      </c>
      <c r="E335" s="6" t="s">
        <v>1261</v>
      </c>
      <c r="F335" s="6" t="s">
        <v>195</v>
      </c>
    </row>
    <row r="336" spans="1:6" ht="38" customHeight="1">
      <c r="A336" s="4" t="s">
        <v>193</v>
      </c>
      <c r="B336" s="4" t="s">
        <v>194</v>
      </c>
      <c r="C336" s="4" t="s">
        <v>1271</v>
      </c>
      <c r="D336" s="4" t="s">
        <v>1307</v>
      </c>
      <c r="E336" s="4" t="s">
        <v>1261</v>
      </c>
      <c r="F336" s="4" t="s">
        <v>195</v>
      </c>
    </row>
    <row r="337" spans="1:6" ht="38" customHeight="1">
      <c r="A337" s="6" t="s">
        <v>193</v>
      </c>
      <c r="B337" s="6" t="s">
        <v>194</v>
      </c>
      <c r="C337" s="6" t="s">
        <v>1273</v>
      </c>
      <c r="D337" s="6" t="s">
        <v>1274</v>
      </c>
      <c r="E337" s="6" t="s">
        <v>1261</v>
      </c>
      <c r="F337" s="6" t="s">
        <v>195</v>
      </c>
    </row>
    <row r="338" spans="1:6" ht="38" customHeight="1">
      <c r="A338" s="4" t="s">
        <v>193</v>
      </c>
      <c r="B338" s="4" t="s">
        <v>194</v>
      </c>
      <c r="C338" s="4" t="s">
        <v>1275</v>
      </c>
      <c r="D338" s="4" t="s">
        <v>1276</v>
      </c>
      <c r="E338" s="4" t="s">
        <v>1261</v>
      </c>
      <c r="F338" s="4" t="s">
        <v>195</v>
      </c>
    </row>
    <row r="339" spans="1:6" ht="38" customHeight="1">
      <c r="A339" s="6" t="s">
        <v>196</v>
      </c>
      <c r="B339" s="6" t="s">
        <v>197</v>
      </c>
      <c r="C339" s="6" t="s">
        <v>1259</v>
      </c>
      <c r="D339" s="6" t="s">
        <v>1353</v>
      </c>
      <c r="E339" s="6" t="s">
        <v>1261</v>
      </c>
      <c r="F339" s="6" t="s">
        <v>199</v>
      </c>
    </row>
    <row r="340" spans="1:6" ht="38" customHeight="1">
      <c r="A340" s="4" t="s">
        <v>196</v>
      </c>
      <c r="B340" s="4" t="s">
        <v>197</v>
      </c>
      <c r="C340" s="4" t="s">
        <v>1262</v>
      </c>
      <c r="D340" s="4" t="s">
        <v>1118</v>
      </c>
      <c r="E340" s="4" t="s">
        <v>1261</v>
      </c>
      <c r="F340" s="4" t="s">
        <v>199</v>
      </c>
    </row>
    <row r="341" spans="1:6" ht="38" customHeight="1">
      <c r="A341" s="6" t="s">
        <v>196</v>
      </c>
      <c r="B341" s="6" t="s">
        <v>197</v>
      </c>
      <c r="C341" s="6" t="s">
        <v>1263</v>
      </c>
      <c r="D341" s="6" t="s">
        <v>1264</v>
      </c>
      <c r="E341" s="6" t="s">
        <v>1261</v>
      </c>
      <c r="F341" s="6" t="s">
        <v>199</v>
      </c>
    </row>
    <row r="342" spans="1:6" ht="38" customHeight="1">
      <c r="A342" s="4" t="s">
        <v>196</v>
      </c>
      <c r="B342" s="4" t="s">
        <v>197</v>
      </c>
      <c r="C342" s="4" t="s">
        <v>1265</v>
      </c>
      <c r="D342" s="4" t="s">
        <v>1266</v>
      </c>
      <c r="E342" s="4" t="s">
        <v>1261</v>
      </c>
      <c r="F342" s="4" t="s">
        <v>199</v>
      </c>
    </row>
    <row r="343" spans="1:6" ht="38" customHeight="1">
      <c r="A343" s="6" t="s">
        <v>196</v>
      </c>
      <c r="B343" s="6" t="s">
        <v>197</v>
      </c>
      <c r="C343" s="6" t="s">
        <v>1267</v>
      </c>
      <c r="D343" s="6" t="s">
        <v>1268</v>
      </c>
      <c r="E343" s="6" t="s">
        <v>1261</v>
      </c>
      <c r="F343" s="6" t="s">
        <v>199</v>
      </c>
    </row>
    <row r="344" spans="1:6" ht="38" customHeight="1">
      <c r="A344" s="4" t="s">
        <v>196</v>
      </c>
      <c r="B344" s="4" t="s">
        <v>197</v>
      </c>
      <c r="C344" s="4" t="s">
        <v>1269</v>
      </c>
      <c r="D344" s="4" t="s">
        <v>1270</v>
      </c>
      <c r="E344" s="4" t="s">
        <v>1261</v>
      </c>
      <c r="F344" s="4" t="s">
        <v>199</v>
      </c>
    </row>
    <row r="345" spans="1:6" ht="38" customHeight="1">
      <c r="A345" s="6" t="s">
        <v>196</v>
      </c>
      <c r="B345" s="6" t="s">
        <v>197</v>
      </c>
      <c r="C345" s="6" t="s">
        <v>1271</v>
      </c>
      <c r="D345" s="6" t="s">
        <v>1307</v>
      </c>
      <c r="E345" s="6" t="s">
        <v>1261</v>
      </c>
      <c r="F345" s="6" t="s">
        <v>199</v>
      </c>
    </row>
    <row r="346" spans="1:6" ht="38" customHeight="1">
      <c r="A346" s="4" t="s">
        <v>196</v>
      </c>
      <c r="B346" s="4" t="s">
        <v>197</v>
      </c>
      <c r="C346" s="4" t="s">
        <v>1273</v>
      </c>
      <c r="D346" s="4" t="s">
        <v>1274</v>
      </c>
      <c r="E346" s="4" t="s">
        <v>1261</v>
      </c>
      <c r="F346" s="4" t="s">
        <v>199</v>
      </c>
    </row>
    <row r="347" spans="1:6" ht="38" customHeight="1">
      <c r="A347" s="6" t="s">
        <v>196</v>
      </c>
      <c r="B347" s="6" t="s">
        <v>197</v>
      </c>
      <c r="C347" s="6" t="s">
        <v>1275</v>
      </c>
      <c r="D347" s="6" t="s">
        <v>1276</v>
      </c>
      <c r="E347" s="6" t="s">
        <v>1261</v>
      </c>
      <c r="F347" s="6" t="s">
        <v>199</v>
      </c>
    </row>
    <row r="348" spans="1:6" ht="38" customHeight="1">
      <c r="A348" s="4" t="s">
        <v>200</v>
      </c>
      <c r="B348" s="4" t="s">
        <v>201</v>
      </c>
      <c r="C348" s="4" t="s">
        <v>1259</v>
      </c>
      <c r="D348" s="4" t="s">
        <v>1354</v>
      </c>
      <c r="E348" s="4" t="s">
        <v>1261</v>
      </c>
      <c r="F348" s="4" t="s">
        <v>202</v>
      </c>
    </row>
    <row r="349" spans="1:6" ht="38" customHeight="1">
      <c r="A349" s="6" t="s">
        <v>200</v>
      </c>
      <c r="B349" s="6" t="s">
        <v>201</v>
      </c>
      <c r="C349" s="6" t="s">
        <v>1262</v>
      </c>
      <c r="D349" s="6" t="s">
        <v>1121</v>
      </c>
      <c r="E349" s="6" t="s">
        <v>1261</v>
      </c>
      <c r="F349" s="6" t="s">
        <v>202</v>
      </c>
    </row>
    <row r="350" spans="1:6" ht="38" customHeight="1">
      <c r="A350" s="4" t="s">
        <v>200</v>
      </c>
      <c r="B350" s="4" t="s">
        <v>201</v>
      </c>
      <c r="C350" s="4" t="s">
        <v>1263</v>
      </c>
      <c r="D350" s="4" t="s">
        <v>1330</v>
      </c>
      <c r="E350" s="4" t="s">
        <v>1261</v>
      </c>
      <c r="F350" s="4" t="s">
        <v>202</v>
      </c>
    </row>
    <row r="351" spans="1:6" ht="38" customHeight="1">
      <c r="A351" s="6" t="s">
        <v>200</v>
      </c>
      <c r="B351" s="6" t="s">
        <v>201</v>
      </c>
      <c r="C351" s="6" t="s">
        <v>1265</v>
      </c>
      <c r="D351" s="6" t="s">
        <v>1331</v>
      </c>
      <c r="E351" s="6" t="s">
        <v>1261</v>
      </c>
      <c r="F351" s="6" t="s">
        <v>202</v>
      </c>
    </row>
    <row r="352" spans="1:6" ht="38" customHeight="1">
      <c r="A352" s="4" t="s">
        <v>200</v>
      </c>
      <c r="B352" s="4" t="s">
        <v>201</v>
      </c>
      <c r="C352" s="4" t="s">
        <v>1267</v>
      </c>
      <c r="D352" s="4" t="s">
        <v>1332</v>
      </c>
      <c r="E352" s="4" t="s">
        <v>1261</v>
      </c>
      <c r="F352" s="4" t="s">
        <v>202</v>
      </c>
    </row>
    <row r="353" spans="1:6" ht="38" customHeight="1">
      <c r="A353" s="6" t="s">
        <v>200</v>
      </c>
      <c r="B353" s="6" t="s">
        <v>201</v>
      </c>
      <c r="C353" s="6" t="s">
        <v>1269</v>
      </c>
      <c r="D353" s="6" t="s">
        <v>1270</v>
      </c>
      <c r="E353" s="6" t="s">
        <v>1261</v>
      </c>
      <c r="F353" s="6" t="s">
        <v>202</v>
      </c>
    </row>
    <row r="354" spans="1:6" ht="38" customHeight="1">
      <c r="A354" s="4" t="s">
        <v>200</v>
      </c>
      <c r="B354" s="4" t="s">
        <v>201</v>
      </c>
      <c r="C354" s="4" t="s">
        <v>1271</v>
      </c>
      <c r="D354" s="4" t="s">
        <v>1307</v>
      </c>
      <c r="E354" s="4" t="s">
        <v>1261</v>
      </c>
      <c r="F354" s="4" t="s">
        <v>202</v>
      </c>
    </row>
    <row r="355" spans="1:6" ht="38" customHeight="1">
      <c r="A355" s="6" t="s">
        <v>200</v>
      </c>
      <c r="B355" s="6" t="s">
        <v>201</v>
      </c>
      <c r="C355" s="6" t="s">
        <v>1273</v>
      </c>
      <c r="D355" s="6" t="s">
        <v>1334</v>
      </c>
      <c r="E355" s="6" t="s">
        <v>1261</v>
      </c>
      <c r="F355" s="6" t="s">
        <v>202</v>
      </c>
    </row>
    <row r="356" spans="1:6" ht="38" customHeight="1">
      <c r="A356" s="4" t="s">
        <v>200</v>
      </c>
      <c r="B356" s="4" t="s">
        <v>201</v>
      </c>
      <c r="C356" s="4" t="s">
        <v>1275</v>
      </c>
      <c r="D356" s="4" t="s">
        <v>1335</v>
      </c>
      <c r="E356" s="4" t="s">
        <v>1261</v>
      </c>
      <c r="F356" s="4" t="s">
        <v>202</v>
      </c>
    </row>
    <row r="357" spans="1:6" ht="38" customHeight="1">
      <c r="A357" s="6" t="s">
        <v>203</v>
      </c>
      <c r="B357" s="6" t="s">
        <v>204</v>
      </c>
      <c r="C357" s="6" t="s">
        <v>1259</v>
      </c>
      <c r="D357" s="6" t="s">
        <v>1355</v>
      </c>
      <c r="E357" s="6" t="s">
        <v>1261</v>
      </c>
      <c r="F357" s="6" t="s">
        <v>205</v>
      </c>
    </row>
    <row r="358" spans="1:6" ht="38" customHeight="1">
      <c r="A358" s="4" t="s">
        <v>203</v>
      </c>
      <c r="B358" s="4" t="s">
        <v>204</v>
      </c>
      <c r="C358" s="4" t="s">
        <v>1262</v>
      </c>
      <c r="D358" s="4" t="s">
        <v>1124</v>
      </c>
      <c r="E358" s="4" t="s">
        <v>1261</v>
      </c>
      <c r="F358" s="4" t="s">
        <v>205</v>
      </c>
    </row>
    <row r="359" spans="1:6" ht="38" customHeight="1">
      <c r="A359" s="6" t="s">
        <v>203</v>
      </c>
      <c r="B359" s="6" t="s">
        <v>204</v>
      </c>
      <c r="C359" s="6" t="s">
        <v>1263</v>
      </c>
      <c r="D359" s="6" t="s">
        <v>1264</v>
      </c>
      <c r="E359" s="6" t="s">
        <v>1261</v>
      </c>
      <c r="F359" s="6" t="s">
        <v>205</v>
      </c>
    </row>
    <row r="360" spans="1:6" ht="38" customHeight="1">
      <c r="A360" s="4" t="s">
        <v>203</v>
      </c>
      <c r="B360" s="4" t="s">
        <v>204</v>
      </c>
      <c r="C360" s="4" t="s">
        <v>1265</v>
      </c>
      <c r="D360" s="4" t="s">
        <v>1266</v>
      </c>
      <c r="E360" s="4" t="s">
        <v>1261</v>
      </c>
      <c r="F360" s="4" t="s">
        <v>205</v>
      </c>
    </row>
    <row r="361" spans="1:6" ht="38" customHeight="1">
      <c r="A361" s="6" t="s">
        <v>203</v>
      </c>
      <c r="B361" s="6" t="s">
        <v>204</v>
      </c>
      <c r="C361" s="6" t="s">
        <v>1267</v>
      </c>
      <c r="D361" s="6" t="s">
        <v>1268</v>
      </c>
      <c r="E361" s="6" t="s">
        <v>1261</v>
      </c>
      <c r="F361" s="6" t="s">
        <v>205</v>
      </c>
    </row>
    <row r="362" spans="1:6" ht="38" customHeight="1">
      <c r="A362" s="4" t="s">
        <v>203</v>
      </c>
      <c r="B362" s="4" t="s">
        <v>204</v>
      </c>
      <c r="C362" s="4" t="s">
        <v>1269</v>
      </c>
      <c r="D362" s="4" t="s">
        <v>1270</v>
      </c>
      <c r="E362" s="4" t="s">
        <v>1261</v>
      </c>
      <c r="F362" s="4" t="s">
        <v>205</v>
      </c>
    </row>
    <row r="363" spans="1:6" ht="38" customHeight="1">
      <c r="A363" s="6" t="s">
        <v>203</v>
      </c>
      <c r="B363" s="6" t="s">
        <v>204</v>
      </c>
      <c r="C363" s="6" t="s">
        <v>1271</v>
      </c>
      <c r="D363" s="6" t="s">
        <v>1307</v>
      </c>
      <c r="E363" s="6" t="s">
        <v>1261</v>
      </c>
      <c r="F363" s="6" t="s">
        <v>205</v>
      </c>
    </row>
    <row r="364" spans="1:6" ht="38" customHeight="1">
      <c r="A364" s="4" t="s">
        <v>203</v>
      </c>
      <c r="B364" s="4" t="s">
        <v>204</v>
      </c>
      <c r="C364" s="4" t="s">
        <v>1273</v>
      </c>
      <c r="D364" s="4" t="s">
        <v>1274</v>
      </c>
      <c r="E364" s="4" t="s">
        <v>1261</v>
      </c>
      <c r="F364" s="4" t="s">
        <v>205</v>
      </c>
    </row>
    <row r="365" spans="1:6" ht="38" customHeight="1">
      <c r="A365" s="6" t="s">
        <v>203</v>
      </c>
      <c r="B365" s="6" t="s">
        <v>204</v>
      </c>
      <c r="C365" s="6" t="s">
        <v>1275</v>
      </c>
      <c r="D365" s="6" t="s">
        <v>1276</v>
      </c>
      <c r="E365" s="6" t="s">
        <v>1261</v>
      </c>
      <c r="F365" s="6" t="s">
        <v>205</v>
      </c>
    </row>
    <row r="366" spans="1:6" ht="38" customHeight="1">
      <c r="A366" s="4" t="s">
        <v>206</v>
      </c>
      <c r="B366" s="4" t="s">
        <v>207</v>
      </c>
      <c r="C366" s="4" t="s">
        <v>1259</v>
      </c>
      <c r="D366" s="4" t="s">
        <v>1356</v>
      </c>
      <c r="E366" s="4" t="s">
        <v>1261</v>
      </c>
      <c r="F366" s="4" t="s">
        <v>208</v>
      </c>
    </row>
    <row r="367" spans="1:6" ht="38" customHeight="1">
      <c r="A367" s="6" t="s">
        <v>206</v>
      </c>
      <c r="B367" s="6" t="s">
        <v>207</v>
      </c>
      <c r="C367" s="6" t="s">
        <v>1262</v>
      </c>
      <c r="D367" s="6" t="s">
        <v>1128</v>
      </c>
      <c r="E367" s="6" t="s">
        <v>1261</v>
      </c>
      <c r="F367" s="6" t="s">
        <v>208</v>
      </c>
    </row>
    <row r="368" spans="1:6" ht="38" customHeight="1">
      <c r="A368" s="4" t="s">
        <v>206</v>
      </c>
      <c r="B368" s="4" t="s">
        <v>207</v>
      </c>
      <c r="C368" s="4" t="s">
        <v>1263</v>
      </c>
      <c r="D368" s="4" t="s">
        <v>1330</v>
      </c>
      <c r="E368" s="4" t="s">
        <v>1261</v>
      </c>
      <c r="F368" s="4" t="s">
        <v>208</v>
      </c>
    </row>
    <row r="369" spans="1:6" ht="38" customHeight="1">
      <c r="A369" s="6" t="s">
        <v>206</v>
      </c>
      <c r="B369" s="6" t="s">
        <v>207</v>
      </c>
      <c r="C369" s="6" t="s">
        <v>1265</v>
      </c>
      <c r="D369" s="6" t="s">
        <v>1331</v>
      </c>
      <c r="E369" s="6" t="s">
        <v>1261</v>
      </c>
      <c r="F369" s="6" t="s">
        <v>208</v>
      </c>
    </row>
    <row r="370" spans="1:6" ht="38" customHeight="1">
      <c r="A370" s="4" t="s">
        <v>206</v>
      </c>
      <c r="B370" s="4" t="s">
        <v>207</v>
      </c>
      <c r="C370" s="4" t="s">
        <v>1267</v>
      </c>
      <c r="D370" s="4" t="s">
        <v>1332</v>
      </c>
      <c r="E370" s="4" t="s">
        <v>1261</v>
      </c>
      <c r="F370" s="4" t="s">
        <v>208</v>
      </c>
    </row>
    <row r="371" spans="1:6" ht="38" customHeight="1">
      <c r="A371" s="6" t="s">
        <v>206</v>
      </c>
      <c r="B371" s="6" t="s">
        <v>207</v>
      </c>
      <c r="C371" s="6" t="s">
        <v>1269</v>
      </c>
      <c r="D371" s="6" t="s">
        <v>1270</v>
      </c>
      <c r="E371" s="6" t="s">
        <v>1261</v>
      </c>
      <c r="F371" s="6" t="s">
        <v>208</v>
      </c>
    </row>
    <row r="372" spans="1:6" ht="38" customHeight="1">
      <c r="A372" s="4" t="s">
        <v>206</v>
      </c>
      <c r="B372" s="4" t="s">
        <v>207</v>
      </c>
      <c r="C372" s="4" t="s">
        <v>1271</v>
      </c>
      <c r="D372" s="4" t="s">
        <v>1307</v>
      </c>
      <c r="E372" s="4" t="s">
        <v>1261</v>
      </c>
      <c r="F372" s="4" t="s">
        <v>208</v>
      </c>
    </row>
    <row r="373" spans="1:6" ht="38" customHeight="1">
      <c r="A373" s="6" t="s">
        <v>206</v>
      </c>
      <c r="B373" s="6" t="s">
        <v>207</v>
      </c>
      <c r="C373" s="6" t="s">
        <v>1273</v>
      </c>
      <c r="D373" s="6" t="s">
        <v>1334</v>
      </c>
      <c r="E373" s="6" t="s">
        <v>1261</v>
      </c>
      <c r="F373" s="6" t="s">
        <v>208</v>
      </c>
    </row>
    <row r="374" spans="1:6" ht="38" customHeight="1">
      <c r="A374" s="4" t="s">
        <v>206</v>
      </c>
      <c r="B374" s="4" t="s">
        <v>207</v>
      </c>
      <c r="C374" s="4" t="s">
        <v>1275</v>
      </c>
      <c r="D374" s="4" t="s">
        <v>1335</v>
      </c>
      <c r="E374" s="4" t="s">
        <v>1261</v>
      </c>
      <c r="F374" s="4" t="s">
        <v>208</v>
      </c>
    </row>
    <row r="375" spans="1:6" ht="38" customHeight="1">
      <c r="A375" s="6" t="s">
        <v>209</v>
      </c>
      <c r="B375" s="6" t="s">
        <v>210</v>
      </c>
      <c r="C375" s="6" t="s">
        <v>1259</v>
      </c>
      <c r="D375" s="6" t="s">
        <v>1357</v>
      </c>
      <c r="E375" s="6" t="s">
        <v>1261</v>
      </c>
      <c r="F375" s="6" t="s">
        <v>211</v>
      </c>
    </row>
    <row r="376" spans="1:6" ht="38" customHeight="1">
      <c r="A376" s="4" t="s">
        <v>209</v>
      </c>
      <c r="B376" s="4" t="s">
        <v>210</v>
      </c>
      <c r="C376" s="4" t="s">
        <v>1262</v>
      </c>
      <c r="D376" s="4" t="s">
        <v>1131</v>
      </c>
      <c r="E376" s="4" t="s">
        <v>1261</v>
      </c>
      <c r="F376" s="4" t="s">
        <v>211</v>
      </c>
    </row>
    <row r="377" spans="1:6" ht="38" customHeight="1">
      <c r="A377" s="6" t="s">
        <v>209</v>
      </c>
      <c r="B377" s="6" t="s">
        <v>210</v>
      </c>
      <c r="C377" s="6" t="s">
        <v>1263</v>
      </c>
      <c r="D377" s="6" t="s">
        <v>1330</v>
      </c>
      <c r="E377" s="6" t="s">
        <v>1261</v>
      </c>
      <c r="F377" s="6" t="s">
        <v>211</v>
      </c>
    </row>
    <row r="378" spans="1:6" ht="38" customHeight="1">
      <c r="A378" s="4" t="s">
        <v>209</v>
      </c>
      <c r="B378" s="4" t="s">
        <v>210</v>
      </c>
      <c r="C378" s="4" t="s">
        <v>1265</v>
      </c>
      <c r="D378" s="4" t="s">
        <v>1331</v>
      </c>
      <c r="E378" s="4" t="s">
        <v>1261</v>
      </c>
      <c r="F378" s="4" t="s">
        <v>211</v>
      </c>
    </row>
    <row r="379" spans="1:6" ht="38" customHeight="1">
      <c r="A379" s="6" t="s">
        <v>209</v>
      </c>
      <c r="B379" s="6" t="s">
        <v>210</v>
      </c>
      <c r="C379" s="6" t="s">
        <v>1267</v>
      </c>
      <c r="D379" s="6" t="s">
        <v>1332</v>
      </c>
      <c r="E379" s="6" t="s">
        <v>1261</v>
      </c>
      <c r="F379" s="6" t="s">
        <v>211</v>
      </c>
    </row>
    <row r="380" spans="1:6" ht="38" customHeight="1">
      <c r="A380" s="4" t="s">
        <v>209</v>
      </c>
      <c r="B380" s="4" t="s">
        <v>210</v>
      </c>
      <c r="C380" s="4" t="s">
        <v>1269</v>
      </c>
      <c r="D380" s="4" t="s">
        <v>1270</v>
      </c>
      <c r="E380" s="4" t="s">
        <v>1261</v>
      </c>
      <c r="F380" s="4" t="s">
        <v>211</v>
      </c>
    </row>
    <row r="381" spans="1:6" ht="38" customHeight="1">
      <c r="A381" s="6" t="s">
        <v>209</v>
      </c>
      <c r="B381" s="6" t="s">
        <v>210</v>
      </c>
      <c r="C381" s="6" t="s">
        <v>1271</v>
      </c>
      <c r="D381" s="6" t="s">
        <v>1358</v>
      </c>
      <c r="E381" s="6" t="s">
        <v>1261</v>
      </c>
      <c r="F381" s="6" t="s">
        <v>211</v>
      </c>
    </row>
    <row r="382" spans="1:6" ht="38" customHeight="1">
      <c r="A382" s="4" t="s">
        <v>209</v>
      </c>
      <c r="B382" s="4" t="s">
        <v>210</v>
      </c>
      <c r="C382" s="4" t="s">
        <v>1273</v>
      </c>
      <c r="D382" s="4" t="s">
        <v>1334</v>
      </c>
      <c r="E382" s="4" t="s">
        <v>1261</v>
      </c>
      <c r="F382" s="4" t="s">
        <v>211</v>
      </c>
    </row>
    <row r="383" spans="1:6" ht="38" customHeight="1">
      <c r="A383" s="6" t="s">
        <v>209</v>
      </c>
      <c r="B383" s="6" t="s">
        <v>210</v>
      </c>
      <c r="C383" s="6" t="s">
        <v>1275</v>
      </c>
      <c r="D383" s="6" t="s">
        <v>1335</v>
      </c>
      <c r="E383" s="6" t="s">
        <v>1261</v>
      </c>
      <c r="F383" s="6" t="s">
        <v>211</v>
      </c>
    </row>
    <row r="384" spans="1:6" ht="38" customHeight="1">
      <c r="A384" s="4" t="s">
        <v>212</v>
      </c>
      <c r="B384" s="4" t="s">
        <v>213</v>
      </c>
      <c r="C384" s="4" t="s">
        <v>1259</v>
      </c>
      <c r="D384" s="4" t="s">
        <v>1359</v>
      </c>
      <c r="E384" s="4" t="s">
        <v>1261</v>
      </c>
      <c r="F384" s="4" t="s">
        <v>214</v>
      </c>
    </row>
    <row r="385" spans="1:6" ht="38" customHeight="1">
      <c r="A385" s="6" t="s">
        <v>212</v>
      </c>
      <c r="B385" s="6" t="s">
        <v>213</v>
      </c>
      <c r="C385" s="6" t="s">
        <v>1262</v>
      </c>
      <c r="D385" s="6" t="s">
        <v>1135</v>
      </c>
      <c r="E385" s="6" t="s">
        <v>1261</v>
      </c>
      <c r="F385" s="6" t="s">
        <v>214</v>
      </c>
    </row>
    <row r="386" spans="1:6" ht="38" customHeight="1">
      <c r="A386" s="4" t="s">
        <v>212</v>
      </c>
      <c r="B386" s="4" t="s">
        <v>213</v>
      </c>
      <c r="C386" s="4" t="s">
        <v>1263</v>
      </c>
      <c r="D386" s="4" t="s">
        <v>1264</v>
      </c>
      <c r="E386" s="4" t="s">
        <v>1261</v>
      </c>
      <c r="F386" s="4" t="s">
        <v>214</v>
      </c>
    </row>
    <row r="387" spans="1:6" ht="38" customHeight="1">
      <c r="A387" s="6" t="s">
        <v>212</v>
      </c>
      <c r="B387" s="6" t="s">
        <v>213</v>
      </c>
      <c r="C387" s="6" t="s">
        <v>1265</v>
      </c>
      <c r="D387" s="6" t="s">
        <v>1266</v>
      </c>
      <c r="E387" s="6" t="s">
        <v>1261</v>
      </c>
      <c r="F387" s="6" t="s">
        <v>214</v>
      </c>
    </row>
    <row r="388" spans="1:6" ht="38" customHeight="1">
      <c r="A388" s="4" t="s">
        <v>212</v>
      </c>
      <c r="B388" s="4" t="s">
        <v>213</v>
      </c>
      <c r="C388" s="4" t="s">
        <v>1267</v>
      </c>
      <c r="D388" s="4" t="s">
        <v>1268</v>
      </c>
      <c r="E388" s="4" t="s">
        <v>1261</v>
      </c>
      <c r="F388" s="4" t="s">
        <v>214</v>
      </c>
    </row>
    <row r="389" spans="1:6" ht="38" customHeight="1">
      <c r="A389" s="6" t="s">
        <v>212</v>
      </c>
      <c r="B389" s="6" t="s">
        <v>213</v>
      </c>
      <c r="C389" s="6" t="s">
        <v>1269</v>
      </c>
      <c r="D389" s="6" t="s">
        <v>1270</v>
      </c>
      <c r="E389" s="6" t="s">
        <v>1261</v>
      </c>
      <c r="F389" s="6" t="s">
        <v>214</v>
      </c>
    </row>
    <row r="390" spans="1:6" ht="38" customHeight="1">
      <c r="A390" s="4" t="s">
        <v>212</v>
      </c>
      <c r="B390" s="4" t="s">
        <v>213</v>
      </c>
      <c r="C390" s="4" t="s">
        <v>1271</v>
      </c>
      <c r="D390" s="4" t="s">
        <v>1360</v>
      </c>
      <c r="E390" s="4" t="s">
        <v>1261</v>
      </c>
      <c r="F390" s="4" t="s">
        <v>214</v>
      </c>
    </row>
    <row r="391" spans="1:6" ht="38" customHeight="1">
      <c r="A391" s="6" t="s">
        <v>212</v>
      </c>
      <c r="B391" s="6" t="s">
        <v>213</v>
      </c>
      <c r="C391" s="6" t="s">
        <v>1273</v>
      </c>
      <c r="D391" s="6" t="s">
        <v>1274</v>
      </c>
      <c r="E391" s="6" t="s">
        <v>1261</v>
      </c>
      <c r="F391" s="6" t="s">
        <v>214</v>
      </c>
    </row>
    <row r="392" spans="1:6" ht="38" customHeight="1">
      <c r="A392" s="4" t="s">
        <v>212</v>
      </c>
      <c r="B392" s="4" t="s">
        <v>213</v>
      </c>
      <c r="C392" s="4" t="s">
        <v>1275</v>
      </c>
      <c r="D392" s="4" t="s">
        <v>1276</v>
      </c>
      <c r="E392" s="4" t="s">
        <v>1261</v>
      </c>
      <c r="F392" s="4" t="s">
        <v>214</v>
      </c>
    </row>
    <row r="393" spans="1:6" ht="38" customHeight="1">
      <c r="A393" s="6" t="s">
        <v>215</v>
      </c>
      <c r="B393" s="6" t="s">
        <v>216</v>
      </c>
      <c r="C393" s="6" t="s">
        <v>1259</v>
      </c>
      <c r="D393" s="6" t="s">
        <v>1361</v>
      </c>
      <c r="E393" s="6" t="s">
        <v>1261</v>
      </c>
      <c r="F393" s="6" t="s">
        <v>220</v>
      </c>
    </row>
    <row r="394" spans="1:6" ht="38" customHeight="1">
      <c r="A394" s="4" t="s">
        <v>215</v>
      </c>
      <c r="B394" s="4" t="s">
        <v>216</v>
      </c>
      <c r="C394" s="4" t="s">
        <v>1262</v>
      </c>
      <c r="D394" s="4" t="s">
        <v>1140</v>
      </c>
      <c r="E394" s="4" t="s">
        <v>1261</v>
      </c>
      <c r="F394" s="4" t="s">
        <v>220</v>
      </c>
    </row>
    <row r="395" spans="1:6" ht="38" customHeight="1">
      <c r="A395" s="6" t="s">
        <v>215</v>
      </c>
      <c r="B395" s="6" t="s">
        <v>216</v>
      </c>
      <c r="C395" s="6" t="s">
        <v>1263</v>
      </c>
      <c r="D395" s="6" t="s">
        <v>1362</v>
      </c>
      <c r="E395" s="6" t="s">
        <v>1261</v>
      </c>
      <c r="F395" s="6" t="s">
        <v>220</v>
      </c>
    </row>
    <row r="396" spans="1:6" ht="38" customHeight="1">
      <c r="A396" s="4" t="s">
        <v>215</v>
      </c>
      <c r="B396" s="4" t="s">
        <v>216</v>
      </c>
      <c r="C396" s="4" t="s">
        <v>1265</v>
      </c>
      <c r="D396" s="4" t="s">
        <v>1363</v>
      </c>
      <c r="E396" s="4" t="s">
        <v>1261</v>
      </c>
      <c r="F396" s="4" t="s">
        <v>220</v>
      </c>
    </row>
    <row r="397" spans="1:6" ht="38" customHeight="1">
      <c r="A397" s="6" t="s">
        <v>215</v>
      </c>
      <c r="B397" s="6" t="s">
        <v>216</v>
      </c>
      <c r="C397" s="6" t="s">
        <v>1267</v>
      </c>
      <c r="D397" s="6" t="s">
        <v>1364</v>
      </c>
      <c r="E397" s="6" t="s">
        <v>1261</v>
      </c>
      <c r="F397" s="6" t="s">
        <v>220</v>
      </c>
    </row>
    <row r="398" spans="1:6" ht="38" customHeight="1">
      <c r="A398" s="4" t="s">
        <v>215</v>
      </c>
      <c r="B398" s="4" t="s">
        <v>216</v>
      </c>
      <c r="C398" s="4" t="s">
        <v>1269</v>
      </c>
      <c r="D398" s="4" t="s">
        <v>1365</v>
      </c>
      <c r="E398" s="4" t="s">
        <v>1261</v>
      </c>
      <c r="F398" s="4" t="s">
        <v>220</v>
      </c>
    </row>
    <row r="399" spans="1:6" ht="38" customHeight="1">
      <c r="A399" s="6" t="s">
        <v>215</v>
      </c>
      <c r="B399" s="6" t="s">
        <v>216</v>
      </c>
      <c r="C399" s="6" t="s">
        <v>1271</v>
      </c>
      <c r="D399" s="6" t="s">
        <v>1366</v>
      </c>
      <c r="E399" s="6" t="s">
        <v>1261</v>
      </c>
      <c r="F399" s="6" t="s">
        <v>220</v>
      </c>
    </row>
    <row r="400" spans="1:6" ht="38" customHeight="1">
      <c r="A400" s="4" t="s">
        <v>215</v>
      </c>
      <c r="B400" s="4" t="s">
        <v>216</v>
      </c>
      <c r="C400" s="4" t="s">
        <v>1273</v>
      </c>
      <c r="D400" s="4" t="s">
        <v>1367</v>
      </c>
      <c r="E400" s="4" t="s">
        <v>1261</v>
      </c>
      <c r="F400" s="4" t="s">
        <v>220</v>
      </c>
    </row>
    <row r="401" spans="1:6" ht="38" customHeight="1">
      <c r="A401" s="6" t="s">
        <v>215</v>
      </c>
      <c r="B401" s="6" t="s">
        <v>216</v>
      </c>
      <c r="C401" s="6" t="s">
        <v>1275</v>
      </c>
      <c r="D401" s="6" t="s">
        <v>1368</v>
      </c>
      <c r="E401" s="6" t="s">
        <v>1261</v>
      </c>
      <c r="F401" s="6" t="s">
        <v>220</v>
      </c>
    </row>
    <row r="402" spans="1:6" ht="38" customHeight="1">
      <c r="A402" s="4" t="s">
        <v>221</v>
      </c>
      <c r="B402" s="4" t="s">
        <v>222</v>
      </c>
      <c r="C402" s="4" t="s">
        <v>1259</v>
      </c>
      <c r="D402" s="4" t="s">
        <v>1369</v>
      </c>
      <c r="E402" s="4" t="s">
        <v>1261</v>
      </c>
      <c r="F402" s="4" t="s">
        <v>224</v>
      </c>
    </row>
    <row r="403" spans="1:6" ht="38" customHeight="1">
      <c r="A403" s="6" t="s">
        <v>221</v>
      </c>
      <c r="B403" s="6" t="s">
        <v>222</v>
      </c>
      <c r="C403" s="6" t="s">
        <v>1262</v>
      </c>
      <c r="D403" s="6" t="s">
        <v>1146</v>
      </c>
      <c r="E403" s="6" t="s">
        <v>1261</v>
      </c>
      <c r="F403" s="6" t="s">
        <v>224</v>
      </c>
    </row>
    <row r="404" spans="1:6" ht="38" customHeight="1">
      <c r="A404" s="4" t="s">
        <v>221</v>
      </c>
      <c r="B404" s="4" t="s">
        <v>222</v>
      </c>
      <c r="C404" s="4" t="s">
        <v>1263</v>
      </c>
      <c r="D404" s="4" t="s">
        <v>1362</v>
      </c>
      <c r="E404" s="4" t="s">
        <v>1261</v>
      </c>
      <c r="F404" s="4" t="s">
        <v>224</v>
      </c>
    </row>
    <row r="405" spans="1:6" ht="38" customHeight="1">
      <c r="A405" s="6" t="s">
        <v>221</v>
      </c>
      <c r="B405" s="6" t="s">
        <v>222</v>
      </c>
      <c r="C405" s="6" t="s">
        <v>1265</v>
      </c>
      <c r="D405" s="6" t="s">
        <v>1363</v>
      </c>
      <c r="E405" s="6" t="s">
        <v>1261</v>
      </c>
      <c r="F405" s="6" t="s">
        <v>224</v>
      </c>
    </row>
    <row r="406" spans="1:6" ht="38" customHeight="1">
      <c r="A406" s="4" t="s">
        <v>221</v>
      </c>
      <c r="B406" s="4" t="s">
        <v>222</v>
      </c>
      <c r="C406" s="4" t="s">
        <v>1267</v>
      </c>
      <c r="D406" s="4" t="s">
        <v>1364</v>
      </c>
      <c r="E406" s="4" t="s">
        <v>1261</v>
      </c>
      <c r="F406" s="4" t="s">
        <v>224</v>
      </c>
    </row>
    <row r="407" spans="1:6" ht="38" customHeight="1">
      <c r="A407" s="6" t="s">
        <v>221</v>
      </c>
      <c r="B407" s="6" t="s">
        <v>222</v>
      </c>
      <c r="C407" s="6" t="s">
        <v>1269</v>
      </c>
      <c r="D407" s="6" t="s">
        <v>1365</v>
      </c>
      <c r="E407" s="6" t="s">
        <v>1261</v>
      </c>
      <c r="F407" s="6" t="s">
        <v>224</v>
      </c>
    </row>
    <row r="408" spans="1:6" ht="38" customHeight="1">
      <c r="A408" s="4" t="s">
        <v>221</v>
      </c>
      <c r="B408" s="4" t="s">
        <v>222</v>
      </c>
      <c r="C408" s="4" t="s">
        <v>1271</v>
      </c>
      <c r="D408" s="4" t="s">
        <v>1370</v>
      </c>
      <c r="E408" s="4" t="s">
        <v>1261</v>
      </c>
      <c r="F408" s="4" t="s">
        <v>224</v>
      </c>
    </row>
    <row r="409" spans="1:6" ht="38" customHeight="1">
      <c r="A409" s="6" t="s">
        <v>221</v>
      </c>
      <c r="B409" s="6" t="s">
        <v>222</v>
      </c>
      <c r="C409" s="6" t="s">
        <v>1273</v>
      </c>
      <c r="D409" s="6" t="s">
        <v>1367</v>
      </c>
      <c r="E409" s="6" t="s">
        <v>1261</v>
      </c>
      <c r="F409" s="6" t="s">
        <v>224</v>
      </c>
    </row>
    <row r="410" spans="1:6" ht="38" customHeight="1">
      <c r="A410" s="4" t="s">
        <v>221</v>
      </c>
      <c r="B410" s="4" t="s">
        <v>222</v>
      </c>
      <c r="C410" s="4" t="s">
        <v>1275</v>
      </c>
      <c r="D410" s="4" t="s">
        <v>1368</v>
      </c>
      <c r="E410" s="4" t="s">
        <v>1261</v>
      </c>
      <c r="F410" s="4" t="s">
        <v>224</v>
      </c>
    </row>
    <row r="411" spans="1:6" ht="38" customHeight="1">
      <c r="A411" s="6" t="s">
        <v>225</v>
      </c>
      <c r="B411" s="6" t="s">
        <v>226</v>
      </c>
      <c r="C411" s="6" t="s">
        <v>1259</v>
      </c>
      <c r="D411" s="6" t="s">
        <v>1371</v>
      </c>
      <c r="E411" s="6" t="s">
        <v>1261</v>
      </c>
      <c r="F411" s="6" t="s">
        <v>229</v>
      </c>
    </row>
    <row r="412" spans="1:6" ht="38" customHeight="1">
      <c r="A412" s="4" t="s">
        <v>225</v>
      </c>
      <c r="B412" s="4" t="s">
        <v>226</v>
      </c>
      <c r="C412" s="4" t="s">
        <v>1262</v>
      </c>
      <c r="D412" s="4" t="s">
        <v>1150</v>
      </c>
      <c r="E412" s="4" t="s">
        <v>1261</v>
      </c>
      <c r="F412" s="4" t="s">
        <v>229</v>
      </c>
    </row>
    <row r="413" spans="1:6" ht="38" customHeight="1">
      <c r="A413" s="6" t="s">
        <v>225</v>
      </c>
      <c r="B413" s="6" t="s">
        <v>226</v>
      </c>
      <c r="C413" s="6" t="s">
        <v>1263</v>
      </c>
      <c r="D413" s="6" t="s">
        <v>1264</v>
      </c>
      <c r="E413" s="6" t="s">
        <v>1261</v>
      </c>
      <c r="F413" s="6" t="s">
        <v>229</v>
      </c>
    </row>
    <row r="414" spans="1:6" ht="38" customHeight="1">
      <c r="A414" s="4" t="s">
        <v>225</v>
      </c>
      <c r="B414" s="4" t="s">
        <v>226</v>
      </c>
      <c r="C414" s="4" t="s">
        <v>1265</v>
      </c>
      <c r="D414" s="4" t="s">
        <v>1266</v>
      </c>
      <c r="E414" s="4" t="s">
        <v>1261</v>
      </c>
      <c r="F414" s="4" t="s">
        <v>229</v>
      </c>
    </row>
    <row r="415" spans="1:6" ht="38" customHeight="1">
      <c r="A415" s="6" t="s">
        <v>225</v>
      </c>
      <c r="B415" s="6" t="s">
        <v>226</v>
      </c>
      <c r="C415" s="6" t="s">
        <v>1267</v>
      </c>
      <c r="D415" s="6" t="s">
        <v>1268</v>
      </c>
      <c r="E415" s="6" t="s">
        <v>1261</v>
      </c>
      <c r="F415" s="6" t="s">
        <v>229</v>
      </c>
    </row>
    <row r="416" spans="1:6" ht="38" customHeight="1">
      <c r="A416" s="4" t="s">
        <v>225</v>
      </c>
      <c r="B416" s="4" t="s">
        <v>226</v>
      </c>
      <c r="C416" s="4" t="s">
        <v>1269</v>
      </c>
      <c r="D416" s="4" t="s">
        <v>1270</v>
      </c>
      <c r="E416" s="4" t="s">
        <v>1261</v>
      </c>
      <c r="F416" s="4" t="s">
        <v>229</v>
      </c>
    </row>
    <row r="417" spans="1:6" ht="38" customHeight="1">
      <c r="A417" s="6" t="s">
        <v>225</v>
      </c>
      <c r="B417" s="6" t="s">
        <v>226</v>
      </c>
      <c r="C417" s="6" t="s">
        <v>1271</v>
      </c>
      <c r="D417" s="6" t="s">
        <v>1307</v>
      </c>
      <c r="E417" s="6" t="s">
        <v>1261</v>
      </c>
      <c r="F417" s="6" t="s">
        <v>229</v>
      </c>
    </row>
    <row r="418" spans="1:6" ht="38" customHeight="1">
      <c r="A418" s="4" t="s">
        <v>225</v>
      </c>
      <c r="B418" s="4" t="s">
        <v>226</v>
      </c>
      <c r="C418" s="4" t="s">
        <v>1273</v>
      </c>
      <c r="D418" s="4" t="s">
        <v>1274</v>
      </c>
      <c r="E418" s="4" t="s">
        <v>1261</v>
      </c>
      <c r="F418" s="4" t="s">
        <v>229</v>
      </c>
    </row>
    <row r="419" spans="1:6" ht="38" customHeight="1">
      <c r="A419" s="6" t="s">
        <v>225</v>
      </c>
      <c r="B419" s="6" t="s">
        <v>226</v>
      </c>
      <c r="C419" s="6" t="s">
        <v>1275</v>
      </c>
      <c r="D419" s="6" t="s">
        <v>1276</v>
      </c>
      <c r="E419" s="6" t="s">
        <v>1261</v>
      </c>
      <c r="F419" s="6" t="s">
        <v>229</v>
      </c>
    </row>
    <row r="420" spans="1:6" ht="38" customHeight="1">
      <c r="A420" s="4" t="s">
        <v>230</v>
      </c>
      <c r="B420" s="4" t="s">
        <v>231</v>
      </c>
      <c r="C420" s="4" t="s">
        <v>1259</v>
      </c>
      <c r="D420" s="4" t="s">
        <v>1372</v>
      </c>
      <c r="E420" s="4" t="s">
        <v>1261</v>
      </c>
      <c r="F420" s="4" t="s">
        <v>234</v>
      </c>
    </row>
    <row r="421" spans="1:6" ht="38" customHeight="1">
      <c r="A421" s="6" t="s">
        <v>230</v>
      </c>
      <c r="B421" s="6" t="s">
        <v>231</v>
      </c>
      <c r="C421" s="6" t="s">
        <v>1262</v>
      </c>
      <c r="D421" s="6" t="s">
        <v>1153</v>
      </c>
      <c r="E421" s="6" t="s">
        <v>1261</v>
      </c>
      <c r="F421" s="6" t="s">
        <v>234</v>
      </c>
    </row>
    <row r="422" spans="1:6" ht="38" customHeight="1">
      <c r="A422" s="4" t="s">
        <v>230</v>
      </c>
      <c r="B422" s="4" t="s">
        <v>231</v>
      </c>
      <c r="C422" s="4" t="s">
        <v>1263</v>
      </c>
      <c r="D422" s="4" t="s">
        <v>1289</v>
      </c>
      <c r="E422" s="4" t="s">
        <v>1261</v>
      </c>
      <c r="F422" s="4" t="s">
        <v>234</v>
      </c>
    </row>
    <row r="423" spans="1:6" ht="38" customHeight="1">
      <c r="A423" s="6" t="s">
        <v>230</v>
      </c>
      <c r="B423" s="6" t="s">
        <v>231</v>
      </c>
      <c r="C423" s="6" t="s">
        <v>1265</v>
      </c>
      <c r="D423" s="6" t="s">
        <v>1290</v>
      </c>
      <c r="E423" s="6" t="s">
        <v>1261</v>
      </c>
      <c r="F423" s="6" t="s">
        <v>234</v>
      </c>
    </row>
    <row r="424" spans="1:6" ht="38" customHeight="1">
      <c r="A424" s="4" t="s">
        <v>230</v>
      </c>
      <c r="B424" s="4" t="s">
        <v>231</v>
      </c>
      <c r="C424" s="4" t="s">
        <v>1267</v>
      </c>
      <c r="D424" s="4" t="s">
        <v>1291</v>
      </c>
      <c r="E424" s="4" t="s">
        <v>1261</v>
      </c>
      <c r="F424" s="4" t="s">
        <v>234</v>
      </c>
    </row>
    <row r="425" spans="1:6" ht="38" customHeight="1">
      <c r="A425" s="6" t="s">
        <v>230</v>
      </c>
      <c r="B425" s="6" t="s">
        <v>231</v>
      </c>
      <c r="C425" s="6" t="s">
        <v>1269</v>
      </c>
      <c r="D425" s="6" t="s">
        <v>1292</v>
      </c>
      <c r="E425" s="6" t="s">
        <v>1261</v>
      </c>
      <c r="F425" s="6" t="s">
        <v>234</v>
      </c>
    </row>
    <row r="426" spans="1:6" ht="38" customHeight="1">
      <c r="A426" s="4" t="s">
        <v>230</v>
      </c>
      <c r="B426" s="4" t="s">
        <v>231</v>
      </c>
      <c r="C426" s="4" t="s">
        <v>1271</v>
      </c>
      <c r="D426" s="4" t="s">
        <v>1307</v>
      </c>
      <c r="E426" s="4" t="s">
        <v>1261</v>
      </c>
      <c r="F426" s="4" t="s">
        <v>234</v>
      </c>
    </row>
    <row r="427" spans="1:6" ht="38" customHeight="1">
      <c r="A427" s="6" t="s">
        <v>230</v>
      </c>
      <c r="B427" s="6" t="s">
        <v>231</v>
      </c>
      <c r="C427" s="6" t="s">
        <v>1273</v>
      </c>
      <c r="D427" s="6" t="s">
        <v>1294</v>
      </c>
      <c r="E427" s="6" t="s">
        <v>1261</v>
      </c>
      <c r="F427" s="6" t="s">
        <v>234</v>
      </c>
    </row>
    <row r="428" spans="1:6" ht="38" customHeight="1">
      <c r="A428" s="4" t="s">
        <v>230</v>
      </c>
      <c r="B428" s="4" t="s">
        <v>231</v>
      </c>
      <c r="C428" s="4" t="s">
        <v>1275</v>
      </c>
      <c r="D428" s="4" t="s">
        <v>1295</v>
      </c>
      <c r="E428" s="4" t="s">
        <v>1261</v>
      </c>
      <c r="F428" s="4" t="s">
        <v>234</v>
      </c>
    </row>
    <row r="429" spans="1:6" ht="38" customHeight="1">
      <c r="A429" s="6" t="s">
        <v>235</v>
      </c>
      <c r="B429" s="6" t="s">
        <v>236</v>
      </c>
      <c r="C429" s="6" t="s">
        <v>1259</v>
      </c>
      <c r="D429" s="6" t="s">
        <v>1373</v>
      </c>
      <c r="E429" s="6" t="s">
        <v>1261</v>
      </c>
      <c r="F429" s="6" t="s">
        <v>238</v>
      </c>
    </row>
    <row r="430" spans="1:6" ht="38" customHeight="1">
      <c r="A430" s="4" t="s">
        <v>235</v>
      </c>
      <c r="B430" s="4" t="s">
        <v>236</v>
      </c>
      <c r="C430" s="4" t="s">
        <v>1262</v>
      </c>
      <c r="D430" s="4" t="s">
        <v>1156</v>
      </c>
      <c r="E430" s="4" t="s">
        <v>1261</v>
      </c>
      <c r="F430" s="4" t="s">
        <v>238</v>
      </c>
    </row>
    <row r="431" spans="1:6" ht="38" customHeight="1">
      <c r="A431" s="6" t="s">
        <v>235</v>
      </c>
      <c r="B431" s="6" t="s">
        <v>236</v>
      </c>
      <c r="C431" s="6" t="s">
        <v>1263</v>
      </c>
      <c r="D431" s="6" t="s">
        <v>1264</v>
      </c>
      <c r="E431" s="6" t="s">
        <v>1261</v>
      </c>
      <c r="F431" s="6" t="s">
        <v>238</v>
      </c>
    </row>
    <row r="432" spans="1:6" ht="38" customHeight="1">
      <c r="A432" s="4" t="s">
        <v>235</v>
      </c>
      <c r="B432" s="4" t="s">
        <v>236</v>
      </c>
      <c r="C432" s="4" t="s">
        <v>1265</v>
      </c>
      <c r="D432" s="4" t="s">
        <v>1266</v>
      </c>
      <c r="E432" s="4" t="s">
        <v>1261</v>
      </c>
      <c r="F432" s="4" t="s">
        <v>238</v>
      </c>
    </row>
    <row r="433" spans="1:6" ht="38" customHeight="1">
      <c r="A433" s="6" t="s">
        <v>235</v>
      </c>
      <c r="B433" s="6" t="s">
        <v>236</v>
      </c>
      <c r="C433" s="6" t="s">
        <v>1267</v>
      </c>
      <c r="D433" s="6" t="s">
        <v>1268</v>
      </c>
      <c r="E433" s="6" t="s">
        <v>1261</v>
      </c>
      <c r="F433" s="6" t="s">
        <v>238</v>
      </c>
    </row>
    <row r="434" spans="1:6" ht="38" customHeight="1">
      <c r="A434" s="4" t="s">
        <v>235</v>
      </c>
      <c r="B434" s="4" t="s">
        <v>236</v>
      </c>
      <c r="C434" s="4" t="s">
        <v>1269</v>
      </c>
      <c r="D434" s="4" t="s">
        <v>1270</v>
      </c>
      <c r="E434" s="4" t="s">
        <v>1261</v>
      </c>
      <c r="F434" s="4" t="s">
        <v>238</v>
      </c>
    </row>
    <row r="435" spans="1:6" ht="38" customHeight="1">
      <c r="A435" s="6" t="s">
        <v>235</v>
      </c>
      <c r="B435" s="6" t="s">
        <v>236</v>
      </c>
      <c r="C435" s="6" t="s">
        <v>1271</v>
      </c>
      <c r="D435" s="6" t="s">
        <v>1307</v>
      </c>
      <c r="E435" s="6" t="s">
        <v>1261</v>
      </c>
      <c r="F435" s="6" t="s">
        <v>238</v>
      </c>
    </row>
    <row r="436" spans="1:6" ht="38" customHeight="1">
      <c r="A436" s="4" t="s">
        <v>235</v>
      </c>
      <c r="B436" s="4" t="s">
        <v>236</v>
      </c>
      <c r="C436" s="4" t="s">
        <v>1273</v>
      </c>
      <c r="D436" s="4" t="s">
        <v>1274</v>
      </c>
      <c r="E436" s="4" t="s">
        <v>1261</v>
      </c>
      <c r="F436" s="4" t="s">
        <v>238</v>
      </c>
    </row>
    <row r="437" spans="1:6" ht="38" customHeight="1">
      <c r="A437" s="6" t="s">
        <v>235</v>
      </c>
      <c r="B437" s="6" t="s">
        <v>236</v>
      </c>
      <c r="C437" s="6" t="s">
        <v>1275</v>
      </c>
      <c r="D437" s="6" t="s">
        <v>1276</v>
      </c>
      <c r="E437" s="6" t="s">
        <v>1261</v>
      </c>
      <c r="F437" s="6" t="s">
        <v>238</v>
      </c>
    </row>
    <row r="438" spans="1:6" ht="38" customHeight="1">
      <c r="A438" s="4" t="s">
        <v>239</v>
      </c>
      <c r="B438" s="4" t="s">
        <v>240</v>
      </c>
      <c r="C438" s="4" t="s">
        <v>1259</v>
      </c>
      <c r="D438" s="4" t="s">
        <v>1374</v>
      </c>
      <c r="E438" s="4" t="s">
        <v>1261</v>
      </c>
      <c r="F438" s="4" t="s">
        <v>243</v>
      </c>
    </row>
    <row r="439" spans="1:6" ht="38" customHeight="1">
      <c r="A439" s="6" t="s">
        <v>239</v>
      </c>
      <c r="B439" s="6" t="s">
        <v>240</v>
      </c>
      <c r="C439" s="6" t="s">
        <v>1262</v>
      </c>
      <c r="D439" s="6" t="s">
        <v>1159</v>
      </c>
      <c r="E439" s="6" t="s">
        <v>1261</v>
      </c>
      <c r="F439" s="6" t="s">
        <v>243</v>
      </c>
    </row>
    <row r="440" spans="1:6" ht="38" customHeight="1">
      <c r="A440" s="4" t="s">
        <v>239</v>
      </c>
      <c r="B440" s="4" t="s">
        <v>240</v>
      </c>
      <c r="C440" s="4" t="s">
        <v>1263</v>
      </c>
      <c r="D440" s="4" t="s">
        <v>1264</v>
      </c>
      <c r="E440" s="4" t="s">
        <v>1261</v>
      </c>
      <c r="F440" s="4" t="s">
        <v>243</v>
      </c>
    </row>
    <row r="441" spans="1:6" ht="38" customHeight="1">
      <c r="A441" s="6" t="s">
        <v>239</v>
      </c>
      <c r="B441" s="6" t="s">
        <v>240</v>
      </c>
      <c r="C441" s="6" t="s">
        <v>1265</v>
      </c>
      <c r="D441" s="6" t="s">
        <v>1266</v>
      </c>
      <c r="E441" s="6" t="s">
        <v>1261</v>
      </c>
      <c r="F441" s="6" t="s">
        <v>243</v>
      </c>
    </row>
    <row r="442" spans="1:6" ht="38" customHeight="1">
      <c r="A442" s="4" t="s">
        <v>239</v>
      </c>
      <c r="B442" s="4" t="s">
        <v>240</v>
      </c>
      <c r="C442" s="4" t="s">
        <v>1267</v>
      </c>
      <c r="D442" s="4" t="s">
        <v>1299</v>
      </c>
      <c r="E442" s="4" t="s">
        <v>1261</v>
      </c>
      <c r="F442" s="4" t="s">
        <v>243</v>
      </c>
    </row>
    <row r="443" spans="1:6" ht="38" customHeight="1">
      <c r="A443" s="6" t="s">
        <v>239</v>
      </c>
      <c r="B443" s="6" t="s">
        <v>240</v>
      </c>
      <c r="C443" s="6" t="s">
        <v>1269</v>
      </c>
      <c r="D443" s="6" t="s">
        <v>1300</v>
      </c>
      <c r="E443" s="6" t="s">
        <v>1261</v>
      </c>
      <c r="F443" s="6" t="s">
        <v>243</v>
      </c>
    </row>
    <row r="444" spans="1:6" ht="38" customHeight="1">
      <c r="A444" s="4" t="s">
        <v>239</v>
      </c>
      <c r="B444" s="4" t="s">
        <v>240</v>
      </c>
      <c r="C444" s="4" t="s">
        <v>1271</v>
      </c>
      <c r="D444" s="4" t="s">
        <v>1375</v>
      </c>
      <c r="E444" s="4" t="s">
        <v>1261</v>
      </c>
      <c r="F444" s="4" t="s">
        <v>243</v>
      </c>
    </row>
    <row r="445" spans="1:6" ht="38" customHeight="1">
      <c r="A445" s="6" t="s">
        <v>239</v>
      </c>
      <c r="B445" s="6" t="s">
        <v>240</v>
      </c>
      <c r="C445" s="6" t="s">
        <v>1273</v>
      </c>
      <c r="D445" s="6" t="s">
        <v>1302</v>
      </c>
      <c r="E445" s="6" t="s">
        <v>1261</v>
      </c>
      <c r="F445" s="6" t="s">
        <v>243</v>
      </c>
    </row>
    <row r="446" spans="1:6" ht="38" customHeight="1">
      <c r="A446" s="4" t="s">
        <v>239</v>
      </c>
      <c r="B446" s="4" t="s">
        <v>240</v>
      </c>
      <c r="C446" s="4" t="s">
        <v>1275</v>
      </c>
      <c r="D446" s="4" t="s">
        <v>1303</v>
      </c>
      <c r="E446" s="4" t="s">
        <v>1261</v>
      </c>
      <c r="F446" s="4" t="s">
        <v>243</v>
      </c>
    </row>
    <row r="447" spans="1:6" ht="38" customHeight="1">
      <c r="A447" s="6" t="s">
        <v>244</v>
      </c>
      <c r="B447" s="6" t="s">
        <v>245</v>
      </c>
      <c r="C447" s="6" t="s">
        <v>1259</v>
      </c>
      <c r="D447" s="6" t="s">
        <v>1376</v>
      </c>
      <c r="E447" s="6" t="s">
        <v>1261</v>
      </c>
      <c r="F447" s="6" t="s">
        <v>247</v>
      </c>
    </row>
    <row r="448" spans="1:6" ht="38" customHeight="1">
      <c r="A448" s="4" t="s">
        <v>244</v>
      </c>
      <c r="B448" s="4" t="s">
        <v>245</v>
      </c>
      <c r="C448" s="4" t="s">
        <v>1262</v>
      </c>
      <c r="D448" s="4" t="s">
        <v>1163</v>
      </c>
      <c r="E448" s="4" t="s">
        <v>1261</v>
      </c>
      <c r="F448" s="4" t="s">
        <v>247</v>
      </c>
    </row>
    <row r="449" spans="1:6" ht="38" customHeight="1">
      <c r="A449" s="6" t="s">
        <v>244</v>
      </c>
      <c r="B449" s="6" t="s">
        <v>245</v>
      </c>
      <c r="C449" s="6" t="s">
        <v>1263</v>
      </c>
      <c r="D449" s="6" t="s">
        <v>1264</v>
      </c>
      <c r="E449" s="6" t="s">
        <v>1261</v>
      </c>
      <c r="F449" s="6" t="s">
        <v>247</v>
      </c>
    </row>
    <row r="450" spans="1:6" ht="38" customHeight="1">
      <c r="A450" s="4" t="s">
        <v>244</v>
      </c>
      <c r="B450" s="4" t="s">
        <v>245</v>
      </c>
      <c r="C450" s="4" t="s">
        <v>1265</v>
      </c>
      <c r="D450" s="4" t="s">
        <v>1266</v>
      </c>
      <c r="E450" s="4" t="s">
        <v>1261</v>
      </c>
      <c r="F450" s="4" t="s">
        <v>247</v>
      </c>
    </row>
    <row r="451" spans="1:6" ht="38" customHeight="1">
      <c r="A451" s="6" t="s">
        <v>244</v>
      </c>
      <c r="B451" s="6" t="s">
        <v>245</v>
      </c>
      <c r="C451" s="6" t="s">
        <v>1267</v>
      </c>
      <c r="D451" s="6" t="s">
        <v>1268</v>
      </c>
      <c r="E451" s="6" t="s">
        <v>1261</v>
      </c>
      <c r="F451" s="6" t="s">
        <v>247</v>
      </c>
    </row>
    <row r="452" spans="1:6" ht="38" customHeight="1">
      <c r="A452" s="4" t="s">
        <v>244</v>
      </c>
      <c r="B452" s="4" t="s">
        <v>245</v>
      </c>
      <c r="C452" s="4" t="s">
        <v>1269</v>
      </c>
      <c r="D452" s="4" t="s">
        <v>1270</v>
      </c>
      <c r="E452" s="4" t="s">
        <v>1261</v>
      </c>
      <c r="F452" s="4" t="s">
        <v>247</v>
      </c>
    </row>
    <row r="453" spans="1:6" ht="38" customHeight="1">
      <c r="A453" s="6" t="s">
        <v>244</v>
      </c>
      <c r="B453" s="6" t="s">
        <v>245</v>
      </c>
      <c r="C453" s="6" t="s">
        <v>1271</v>
      </c>
      <c r="D453" s="6" t="s">
        <v>1377</v>
      </c>
      <c r="E453" s="6" t="s">
        <v>1261</v>
      </c>
      <c r="F453" s="6" t="s">
        <v>247</v>
      </c>
    </row>
    <row r="454" spans="1:6" ht="38" customHeight="1">
      <c r="A454" s="4" t="s">
        <v>244</v>
      </c>
      <c r="B454" s="4" t="s">
        <v>245</v>
      </c>
      <c r="C454" s="4" t="s">
        <v>1273</v>
      </c>
      <c r="D454" s="4" t="s">
        <v>1274</v>
      </c>
      <c r="E454" s="4" t="s">
        <v>1261</v>
      </c>
      <c r="F454" s="4" t="s">
        <v>247</v>
      </c>
    </row>
    <row r="455" spans="1:6" ht="38" customHeight="1">
      <c r="A455" s="6" t="s">
        <v>244</v>
      </c>
      <c r="B455" s="6" t="s">
        <v>245</v>
      </c>
      <c r="C455" s="6" t="s">
        <v>1275</v>
      </c>
      <c r="D455" s="6" t="s">
        <v>1276</v>
      </c>
      <c r="E455" s="6" t="s">
        <v>1261</v>
      </c>
      <c r="F455" s="6" t="s">
        <v>247</v>
      </c>
    </row>
    <row r="456" spans="1:6" ht="38" customHeight="1">
      <c r="A456" s="4" t="s">
        <v>248</v>
      </c>
      <c r="B456" s="4" t="s">
        <v>249</v>
      </c>
      <c r="C456" s="4" t="s">
        <v>1259</v>
      </c>
      <c r="D456" s="4" t="s">
        <v>1378</v>
      </c>
      <c r="E456" s="4" t="s">
        <v>1261</v>
      </c>
      <c r="F456" s="4" t="s">
        <v>251</v>
      </c>
    </row>
    <row r="457" spans="1:6" ht="38" customHeight="1">
      <c r="A457" s="6" t="s">
        <v>248</v>
      </c>
      <c r="B457" s="6" t="s">
        <v>249</v>
      </c>
      <c r="C457" s="6" t="s">
        <v>1262</v>
      </c>
      <c r="D457" s="6" t="s">
        <v>1167</v>
      </c>
      <c r="E457" s="6" t="s">
        <v>1261</v>
      </c>
      <c r="F457" s="6" t="s">
        <v>251</v>
      </c>
    </row>
    <row r="458" spans="1:6" ht="38" customHeight="1">
      <c r="A458" s="4" t="s">
        <v>248</v>
      </c>
      <c r="B458" s="4" t="s">
        <v>249</v>
      </c>
      <c r="C458" s="4" t="s">
        <v>1263</v>
      </c>
      <c r="D458" s="4" t="s">
        <v>1379</v>
      </c>
      <c r="E458" s="4" t="s">
        <v>1261</v>
      </c>
      <c r="F458" s="4" t="s">
        <v>251</v>
      </c>
    </row>
    <row r="459" spans="1:6" ht="38" customHeight="1">
      <c r="A459" s="6" t="s">
        <v>248</v>
      </c>
      <c r="B459" s="6" t="s">
        <v>249</v>
      </c>
      <c r="C459" s="6" t="s">
        <v>1265</v>
      </c>
      <c r="D459" s="6" t="s">
        <v>1380</v>
      </c>
      <c r="E459" s="6" t="s">
        <v>1261</v>
      </c>
      <c r="F459" s="6" t="s">
        <v>251</v>
      </c>
    </row>
    <row r="460" spans="1:6" ht="38" customHeight="1">
      <c r="A460" s="4" t="s">
        <v>248</v>
      </c>
      <c r="B460" s="4" t="s">
        <v>249</v>
      </c>
      <c r="C460" s="4" t="s">
        <v>1267</v>
      </c>
      <c r="D460" s="4" t="s">
        <v>1381</v>
      </c>
      <c r="E460" s="4" t="s">
        <v>1261</v>
      </c>
      <c r="F460" s="4" t="s">
        <v>251</v>
      </c>
    </row>
    <row r="461" spans="1:6" ht="38" customHeight="1">
      <c r="A461" s="6" t="s">
        <v>248</v>
      </c>
      <c r="B461" s="6" t="s">
        <v>249</v>
      </c>
      <c r="C461" s="6" t="s">
        <v>1269</v>
      </c>
      <c r="D461" s="6" t="s">
        <v>1382</v>
      </c>
      <c r="E461" s="6" t="s">
        <v>1261</v>
      </c>
      <c r="F461" s="6" t="s">
        <v>251</v>
      </c>
    </row>
    <row r="462" spans="1:6" ht="38" customHeight="1">
      <c r="A462" s="4" t="s">
        <v>248</v>
      </c>
      <c r="B462" s="4" t="s">
        <v>249</v>
      </c>
      <c r="C462" s="4" t="s">
        <v>1271</v>
      </c>
      <c r="D462" s="4" t="s">
        <v>1307</v>
      </c>
      <c r="E462" s="4" t="s">
        <v>1261</v>
      </c>
      <c r="F462" s="4" t="s">
        <v>251</v>
      </c>
    </row>
    <row r="463" spans="1:6" ht="38" customHeight="1">
      <c r="A463" s="6" t="s">
        <v>248</v>
      </c>
      <c r="B463" s="6" t="s">
        <v>249</v>
      </c>
      <c r="C463" s="6" t="s">
        <v>1273</v>
      </c>
      <c r="D463" s="6" t="s">
        <v>1383</v>
      </c>
      <c r="E463" s="6" t="s">
        <v>1261</v>
      </c>
      <c r="F463" s="6" t="s">
        <v>251</v>
      </c>
    </row>
    <row r="464" spans="1:6" ht="38" customHeight="1">
      <c r="A464" s="4" t="s">
        <v>248</v>
      </c>
      <c r="B464" s="4" t="s">
        <v>249</v>
      </c>
      <c r="C464" s="4" t="s">
        <v>1275</v>
      </c>
      <c r="D464" s="4" t="s">
        <v>1384</v>
      </c>
      <c r="E464" s="4" t="s">
        <v>1261</v>
      </c>
      <c r="F464" s="4" t="s">
        <v>251</v>
      </c>
    </row>
    <row r="465" spans="1:6" ht="38" customHeight="1">
      <c r="A465" s="6" t="s">
        <v>252</v>
      </c>
      <c r="B465" s="6" t="s">
        <v>253</v>
      </c>
      <c r="C465" s="6" t="s">
        <v>1259</v>
      </c>
      <c r="D465" s="6" t="s">
        <v>1385</v>
      </c>
      <c r="E465" s="6" t="s">
        <v>1261</v>
      </c>
      <c r="F465" s="6" t="s">
        <v>254</v>
      </c>
    </row>
    <row r="466" spans="1:6" ht="38" customHeight="1">
      <c r="A466" s="4" t="s">
        <v>252</v>
      </c>
      <c r="B466" s="4" t="s">
        <v>253</v>
      </c>
      <c r="C466" s="4" t="s">
        <v>1262</v>
      </c>
      <c r="D466" s="4" t="s">
        <v>1172</v>
      </c>
      <c r="E466" s="4" t="s">
        <v>1261</v>
      </c>
      <c r="F466" s="4" t="s">
        <v>254</v>
      </c>
    </row>
    <row r="467" spans="1:6" ht="38" customHeight="1">
      <c r="A467" s="6" t="s">
        <v>252</v>
      </c>
      <c r="B467" s="6" t="s">
        <v>253</v>
      </c>
      <c r="C467" s="6" t="s">
        <v>1263</v>
      </c>
      <c r="D467" s="6" t="s">
        <v>1330</v>
      </c>
      <c r="E467" s="6" t="s">
        <v>1261</v>
      </c>
      <c r="F467" s="6" t="s">
        <v>254</v>
      </c>
    </row>
    <row r="468" spans="1:6" ht="38" customHeight="1">
      <c r="A468" s="4" t="s">
        <v>252</v>
      </c>
      <c r="B468" s="4" t="s">
        <v>253</v>
      </c>
      <c r="C468" s="4" t="s">
        <v>1265</v>
      </c>
      <c r="D468" s="4" t="s">
        <v>1331</v>
      </c>
      <c r="E468" s="4" t="s">
        <v>1261</v>
      </c>
      <c r="F468" s="4" t="s">
        <v>254</v>
      </c>
    </row>
    <row r="469" spans="1:6" ht="38" customHeight="1">
      <c r="A469" s="6" t="s">
        <v>252</v>
      </c>
      <c r="B469" s="6" t="s">
        <v>253</v>
      </c>
      <c r="C469" s="6" t="s">
        <v>1267</v>
      </c>
      <c r="D469" s="6" t="s">
        <v>1332</v>
      </c>
      <c r="E469" s="6" t="s">
        <v>1261</v>
      </c>
      <c r="F469" s="6" t="s">
        <v>254</v>
      </c>
    </row>
    <row r="470" spans="1:6" ht="38" customHeight="1">
      <c r="A470" s="4" t="s">
        <v>252</v>
      </c>
      <c r="B470" s="4" t="s">
        <v>253</v>
      </c>
      <c r="C470" s="4" t="s">
        <v>1269</v>
      </c>
      <c r="D470" s="4" t="s">
        <v>1270</v>
      </c>
      <c r="E470" s="4" t="s">
        <v>1261</v>
      </c>
      <c r="F470" s="4" t="s">
        <v>254</v>
      </c>
    </row>
    <row r="471" spans="1:6" ht="38" customHeight="1">
      <c r="A471" s="6" t="s">
        <v>252</v>
      </c>
      <c r="B471" s="6" t="s">
        <v>253</v>
      </c>
      <c r="C471" s="6" t="s">
        <v>1271</v>
      </c>
      <c r="D471" s="6" t="s">
        <v>1307</v>
      </c>
      <c r="E471" s="6" t="s">
        <v>1261</v>
      </c>
      <c r="F471" s="6" t="s">
        <v>254</v>
      </c>
    </row>
    <row r="472" spans="1:6" ht="38" customHeight="1">
      <c r="A472" s="4" t="s">
        <v>252</v>
      </c>
      <c r="B472" s="4" t="s">
        <v>253</v>
      </c>
      <c r="C472" s="4" t="s">
        <v>1273</v>
      </c>
      <c r="D472" s="4" t="s">
        <v>1334</v>
      </c>
      <c r="E472" s="4" t="s">
        <v>1261</v>
      </c>
      <c r="F472" s="4" t="s">
        <v>254</v>
      </c>
    </row>
    <row r="473" spans="1:6" ht="38" customHeight="1">
      <c r="A473" s="6" t="s">
        <v>252</v>
      </c>
      <c r="B473" s="6" t="s">
        <v>253</v>
      </c>
      <c r="C473" s="6" t="s">
        <v>1275</v>
      </c>
      <c r="D473" s="6" t="s">
        <v>1335</v>
      </c>
      <c r="E473" s="6" t="s">
        <v>1261</v>
      </c>
      <c r="F473" s="6" t="s">
        <v>254</v>
      </c>
    </row>
    <row r="474" spans="1:6" ht="38" customHeight="1">
      <c r="A474" s="4" t="s">
        <v>255</v>
      </c>
      <c r="B474" s="4" t="s">
        <v>256</v>
      </c>
      <c r="C474" s="4" t="s">
        <v>1259</v>
      </c>
      <c r="D474" s="4" t="s">
        <v>1386</v>
      </c>
      <c r="E474" s="4" t="s">
        <v>1261</v>
      </c>
      <c r="F474" s="4" t="s">
        <v>258</v>
      </c>
    </row>
    <row r="475" spans="1:6" ht="38" customHeight="1">
      <c r="A475" s="6" t="s">
        <v>255</v>
      </c>
      <c r="B475" s="6" t="s">
        <v>256</v>
      </c>
      <c r="C475" s="6" t="s">
        <v>1262</v>
      </c>
      <c r="D475" s="6" t="s">
        <v>1175</v>
      </c>
      <c r="E475" s="6" t="s">
        <v>1261</v>
      </c>
      <c r="F475" s="6" t="s">
        <v>258</v>
      </c>
    </row>
    <row r="476" spans="1:6" ht="38" customHeight="1">
      <c r="A476" s="4" t="s">
        <v>255</v>
      </c>
      <c r="B476" s="4" t="s">
        <v>256</v>
      </c>
      <c r="C476" s="4" t="s">
        <v>1263</v>
      </c>
      <c r="D476" s="4" t="s">
        <v>1330</v>
      </c>
      <c r="E476" s="4" t="s">
        <v>1261</v>
      </c>
      <c r="F476" s="4" t="s">
        <v>258</v>
      </c>
    </row>
    <row r="477" spans="1:6" ht="38" customHeight="1">
      <c r="A477" s="6" t="s">
        <v>255</v>
      </c>
      <c r="B477" s="6" t="s">
        <v>256</v>
      </c>
      <c r="C477" s="6" t="s">
        <v>1265</v>
      </c>
      <c r="D477" s="6" t="s">
        <v>1331</v>
      </c>
      <c r="E477" s="6" t="s">
        <v>1261</v>
      </c>
      <c r="F477" s="6" t="s">
        <v>258</v>
      </c>
    </row>
    <row r="478" spans="1:6" ht="38" customHeight="1">
      <c r="A478" s="4" t="s">
        <v>255</v>
      </c>
      <c r="B478" s="4" t="s">
        <v>256</v>
      </c>
      <c r="C478" s="4" t="s">
        <v>1267</v>
      </c>
      <c r="D478" s="4" t="s">
        <v>1332</v>
      </c>
      <c r="E478" s="4" t="s">
        <v>1261</v>
      </c>
      <c r="F478" s="4" t="s">
        <v>258</v>
      </c>
    </row>
    <row r="479" spans="1:6" ht="38" customHeight="1">
      <c r="A479" s="6" t="s">
        <v>255</v>
      </c>
      <c r="B479" s="6" t="s">
        <v>256</v>
      </c>
      <c r="C479" s="6" t="s">
        <v>1269</v>
      </c>
      <c r="D479" s="6" t="s">
        <v>1270</v>
      </c>
      <c r="E479" s="6" t="s">
        <v>1261</v>
      </c>
      <c r="F479" s="6" t="s">
        <v>258</v>
      </c>
    </row>
    <row r="480" spans="1:6" ht="38" customHeight="1">
      <c r="A480" s="4" t="s">
        <v>255</v>
      </c>
      <c r="B480" s="4" t="s">
        <v>256</v>
      </c>
      <c r="C480" s="4" t="s">
        <v>1271</v>
      </c>
      <c r="D480" s="4" t="s">
        <v>1387</v>
      </c>
      <c r="E480" s="4" t="s">
        <v>1261</v>
      </c>
      <c r="F480" s="4" t="s">
        <v>258</v>
      </c>
    </row>
    <row r="481" spans="1:6" ht="38" customHeight="1">
      <c r="A481" s="6" t="s">
        <v>255</v>
      </c>
      <c r="B481" s="6" t="s">
        <v>256</v>
      </c>
      <c r="C481" s="6" t="s">
        <v>1273</v>
      </c>
      <c r="D481" s="6" t="s">
        <v>1334</v>
      </c>
      <c r="E481" s="6" t="s">
        <v>1261</v>
      </c>
      <c r="F481" s="6" t="s">
        <v>258</v>
      </c>
    </row>
    <row r="482" spans="1:6" ht="38" customHeight="1">
      <c r="A482" s="4" t="s">
        <v>255</v>
      </c>
      <c r="B482" s="4" t="s">
        <v>256</v>
      </c>
      <c r="C482" s="4" t="s">
        <v>1275</v>
      </c>
      <c r="D482" s="4" t="s">
        <v>1335</v>
      </c>
      <c r="E482" s="4" t="s">
        <v>1261</v>
      </c>
      <c r="F482" s="4" t="s">
        <v>258</v>
      </c>
    </row>
    <row r="483" spans="1:6" ht="38" customHeight="1">
      <c r="A483" s="6" t="s">
        <v>259</v>
      </c>
      <c r="B483" s="6" t="s">
        <v>260</v>
      </c>
      <c r="C483" s="6" t="s">
        <v>1259</v>
      </c>
      <c r="D483" s="6" t="s">
        <v>1388</v>
      </c>
      <c r="E483" s="6" t="s">
        <v>1261</v>
      </c>
      <c r="F483" s="6" t="s">
        <v>261</v>
      </c>
    </row>
    <row r="484" spans="1:6" ht="38" customHeight="1">
      <c r="A484" s="4" t="s">
        <v>259</v>
      </c>
      <c r="B484" s="4" t="s">
        <v>260</v>
      </c>
      <c r="C484" s="4" t="s">
        <v>1262</v>
      </c>
      <c r="D484" s="4" t="s">
        <v>1179</v>
      </c>
      <c r="E484" s="4" t="s">
        <v>1261</v>
      </c>
      <c r="F484" s="4" t="s">
        <v>261</v>
      </c>
    </row>
    <row r="485" spans="1:6" ht="38" customHeight="1">
      <c r="A485" s="6" t="s">
        <v>259</v>
      </c>
      <c r="B485" s="6" t="s">
        <v>260</v>
      </c>
      <c r="C485" s="6" t="s">
        <v>1263</v>
      </c>
      <c r="D485" s="6" t="s">
        <v>1264</v>
      </c>
      <c r="E485" s="6" t="s">
        <v>1261</v>
      </c>
      <c r="F485" s="6" t="s">
        <v>261</v>
      </c>
    </row>
    <row r="486" spans="1:6" ht="38" customHeight="1">
      <c r="A486" s="4" t="s">
        <v>259</v>
      </c>
      <c r="B486" s="4" t="s">
        <v>260</v>
      </c>
      <c r="C486" s="4" t="s">
        <v>1265</v>
      </c>
      <c r="D486" s="4" t="s">
        <v>1266</v>
      </c>
      <c r="E486" s="4" t="s">
        <v>1261</v>
      </c>
      <c r="F486" s="4" t="s">
        <v>261</v>
      </c>
    </row>
    <row r="487" spans="1:6" ht="38" customHeight="1">
      <c r="A487" s="6" t="s">
        <v>259</v>
      </c>
      <c r="B487" s="6" t="s">
        <v>260</v>
      </c>
      <c r="C487" s="6" t="s">
        <v>1267</v>
      </c>
      <c r="D487" s="6" t="s">
        <v>1268</v>
      </c>
      <c r="E487" s="6" t="s">
        <v>1261</v>
      </c>
      <c r="F487" s="6" t="s">
        <v>261</v>
      </c>
    </row>
    <row r="488" spans="1:6" ht="38" customHeight="1">
      <c r="A488" s="4" t="s">
        <v>259</v>
      </c>
      <c r="B488" s="4" t="s">
        <v>260</v>
      </c>
      <c r="C488" s="4" t="s">
        <v>1269</v>
      </c>
      <c r="D488" s="4" t="s">
        <v>1270</v>
      </c>
      <c r="E488" s="4" t="s">
        <v>1261</v>
      </c>
      <c r="F488" s="4" t="s">
        <v>261</v>
      </c>
    </row>
    <row r="489" spans="1:6" ht="38" customHeight="1">
      <c r="A489" s="6" t="s">
        <v>259</v>
      </c>
      <c r="B489" s="6" t="s">
        <v>260</v>
      </c>
      <c r="C489" s="6" t="s">
        <v>1271</v>
      </c>
      <c r="D489" s="6" t="s">
        <v>1389</v>
      </c>
      <c r="E489" s="6" t="s">
        <v>1261</v>
      </c>
      <c r="F489" s="6" t="s">
        <v>261</v>
      </c>
    </row>
    <row r="490" spans="1:6" ht="38" customHeight="1">
      <c r="A490" s="4" t="s">
        <v>259</v>
      </c>
      <c r="B490" s="4" t="s">
        <v>260</v>
      </c>
      <c r="C490" s="4" t="s">
        <v>1273</v>
      </c>
      <c r="D490" s="4" t="s">
        <v>1274</v>
      </c>
      <c r="E490" s="4" t="s">
        <v>1261</v>
      </c>
      <c r="F490" s="4" t="s">
        <v>261</v>
      </c>
    </row>
    <row r="491" spans="1:6" ht="38" customHeight="1">
      <c r="A491" s="6" t="s">
        <v>259</v>
      </c>
      <c r="B491" s="6" t="s">
        <v>260</v>
      </c>
      <c r="C491" s="6" t="s">
        <v>1275</v>
      </c>
      <c r="D491" s="6" t="s">
        <v>1276</v>
      </c>
      <c r="E491" s="6" t="s">
        <v>1261</v>
      </c>
      <c r="F491" s="6" t="s">
        <v>261</v>
      </c>
    </row>
    <row r="492" spans="1:6" ht="30" customHeight="1">
      <c r="A492" s="4" t="s">
        <v>262</v>
      </c>
      <c r="B492" s="4" t="s">
        <v>263</v>
      </c>
      <c r="C492" s="4" t="s">
        <v>1259</v>
      </c>
      <c r="D492" s="4" t="s">
        <v>1390</v>
      </c>
      <c r="E492" s="4" t="s">
        <v>1391</v>
      </c>
      <c r="F492" s="4" t="s">
        <v>267</v>
      </c>
    </row>
    <row r="493" spans="1:6" ht="30" customHeight="1">
      <c r="A493" s="6" t="s">
        <v>262</v>
      </c>
      <c r="B493" s="6" t="s">
        <v>263</v>
      </c>
      <c r="C493" s="6" t="s">
        <v>1262</v>
      </c>
      <c r="D493" s="6" t="s">
        <v>1390</v>
      </c>
      <c r="E493" s="6" t="s">
        <v>1391</v>
      </c>
      <c r="F493" s="6" t="s">
        <v>267</v>
      </c>
    </row>
    <row r="494" spans="1:6" ht="30" customHeight="1">
      <c r="A494" s="4" t="s">
        <v>262</v>
      </c>
      <c r="B494" s="4" t="s">
        <v>263</v>
      </c>
      <c r="C494" s="4" t="s">
        <v>1263</v>
      </c>
      <c r="D494" s="4" t="s">
        <v>1390</v>
      </c>
      <c r="E494" s="4" t="s">
        <v>1391</v>
      </c>
      <c r="F494" s="4" t="s">
        <v>267</v>
      </c>
    </row>
    <row r="495" spans="1:6" ht="30" customHeight="1">
      <c r="A495" s="6" t="s">
        <v>262</v>
      </c>
      <c r="B495" s="6" t="s">
        <v>263</v>
      </c>
      <c r="C495" s="6" t="s">
        <v>1265</v>
      </c>
      <c r="D495" s="6" t="s">
        <v>1390</v>
      </c>
      <c r="E495" s="6" t="s">
        <v>1391</v>
      </c>
      <c r="F495" s="6" t="s">
        <v>267</v>
      </c>
    </row>
    <row r="496" spans="1:6" ht="30" customHeight="1">
      <c r="A496" s="4" t="s">
        <v>262</v>
      </c>
      <c r="B496" s="4" t="s">
        <v>263</v>
      </c>
      <c r="C496" s="4" t="s">
        <v>1267</v>
      </c>
      <c r="D496" s="4" t="s">
        <v>1390</v>
      </c>
      <c r="E496" s="4" t="s">
        <v>1391</v>
      </c>
      <c r="F496" s="4" t="s">
        <v>267</v>
      </c>
    </row>
    <row r="497" spans="1:6" ht="30" customHeight="1">
      <c r="A497" s="6" t="s">
        <v>262</v>
      </c>
      <c r="B497" s="6" t="s">
        <v>263</v>
      </c>
      <c r="C497" s="6" t="s">
        <v>1269</v>
      </c>
      <c r="D497" s="6" t="s">
        <v>1390</v>
      </c>
      <c r="E497" s="6" t="s">
        <v>1391</v>
      </c>
      <c r="F497" s="6" t="s">
        <v>267</v>
      </c>
    </row>
    <row r="498" spans="1:6" ht="30" customHeight="1">
      <c r="A498" s="4" t="s">
        <v>262</v>
      </c>
      <c r="B498" s="4" t="s">
        <v>263</v>
      </c>
      <c r="C498" s="4" t="s">
        <v>1271</v>
      </c>
      <c r="D498" s="4" t="s">
        <v>1390</v>
      </c>
      <c r="E498" s="4" t="s">
        <v>1391</v>
      </c>
      <c r="F498" s="4" t="s">
        <v>267</v>
      </c>
    </row>
    <row r="499" spans="1:6" ht="30" customHeight="1">
      <c r="A499" s="6" t="s">
        <v>262</v>
      </c>
      <c r="B499" s="6" t="s">
        <v>263</v>
      </c>
      <c r="C499" s="6" t="s">
        <v>1273</v>
      </c>
      <c r="D499" s="6" t="s">
        <v>1390</v>
      </c>
      <c r="E499" s="6" t="s">
        <v>1391</v>
      </c>
      <c r="F499" s="6" t="s">
        <v>267</v>
      </c>
    </row>
    <row r="500" spans="1:6" ht="30" customHeight="1">
      <c r="A500" s="4" t="s">
        <v>262</v>
      </c>
      <c r="B500" s="4" t="s">
        <v>263</v>
      </c>
      <c r="C500" s="4" t="s">
        <v>1275</v>
      </c>
      <c r="D500" s="4" t="s">
        <v>1390</v>
      </c>
      <c r="E500" s="4" t="s">
        <v>1391</v>
      </c>
      <c r="F500" s="4" t="s">
        <v>267</v>
      </c>
    </row>
    <row r="501" spans="1:6" ht="30" customHeight="1">
      <c r="A501" s="6" t="s">
        <v>268</v>
      </c>
      <c r="B501" s="6" t="s">
        <v>269</v>
      </c>
      <c r="C501" s="6" t="s">
        <v>1259</v>
      </c>
      <c r="D501" s="6" t="s">
        <v>1390</v>
      </c>
      <c r="E501" s="6" t="s">
        <v>1391</v>
      </c>
      <c r="F501" s="6" t="s">
        <v>267</v>
      </c>
    </row>
    <row r="502" spans="1:6" ht="30" customHeight="1">
      <c r="A502" s="4" t="s">
        <v>268</v>
      </c>
      <c r="B502" s="4" t="s">
        <v>269</v>
      </c>
      <c r="C502" s="4" t="s">
        <v>1262</v>
      </c>
      <c r="D502" s="4" t="s">
        <v>1390</v>
      </c>
      <c r="E502" s="4" t="s">
        <v>1391</v>
      </c>
      <c r="F502" s="4" t="s">
        <v>267</v>
      </c>
    </row>
    <row r="503" spans="1:6" ht="30" customHeight="1">
      <c r="A503" s="6" t="s">
        <v>268</v>
      </c>
      <c r="B503" s="6" t="s">
        <v>269</v>
      </c>
      <c r="C503" s="6" t="s">
        <v>1263</v>
      </c>
      <c r="D503" s="6" t="s">
        <v>1390</v>
      </c>
      <c r="E503" s="6" t="s">
        <v>1391</v>
      </c>
      <c r="F503" s="6" t="s">
        <v>267</v>
      </c>
    </row>
    <row r="504" spans="1:6" ht="30" customHeight="1">
      <c r="A504" s="4" t="s">
        <v>268</v>
      </c>
      <c r="B504" s="4" t="s">
        <v>269</v>
      </c>
      <c r="C504" s="4" t="s">
        <v>1265</v>
      </c>
      <c r="D504" s="4" t="s">
        <v>1390</v>
      </c>
      <c r="E504" s="4" t="s">
        <v>1391</v>
      </c>
      <c r="F504" s="4" t="s">
        <v>267</v>
      </c>
    </row>
    <row r="505" spans="1:6" ht="30" customHeight="1">
      <c r="A505" s="6" t="s">
        <v>268</v>
      </c>
      <c r="B505" s="6" t="s">
        <v>269</v>
      </c>
      <c r="C505" s="6" t="s">
        <v>1267</v>
      </c>
      <c r="D505" s="6" t="s">
        <v>1390</v>
      </c>
      <c r="E505" s="6" t="s">
        <v>1391</v>
      </c>
      <c r="F505" s="6" t="s">
        <v>267</v>
      </c>
    </row>
    <row r="506" spans="1:6" ht="30" customHeight="1">
      <c r="A506" s="4" t="s">
        <v>268</v>
      </c>
      <c r="B506" s="4" t="s">
        <v>269</v>
      </c>
      <c r="C506" s="4" t="s">
        <v>1269</v>
      </c>
      <c r="D506" s="4" t="s">
        <v>1390</v>
      </c>
      <c r="E506" s="4" t="s">
        <v>1391</v>
      </c>
      <c r="F506" s="4" t="s">
        <v>267</v>
      </c>
    </row>
    <row r="507" spans="1:6" ht="30" customHeight="1">
      <c r="A507" s="6" t="s">
        <v>268</v>
      </c>
      <c r="B507" s="6" t="s">
        <v>269</v>
      </c>
      <c r="C507" s="6" t="s">
        <v>1271</v>
      </c>
      <c r="D507" s="6" t="s">
        <v>1390</v>
      </c>
      <c r="E507" s="6" t="s">
        <v>1391</v>
      </c>
      <c r="F507" s="6" t="s">
        <v>267</v>
      </c>
    </row>
    <row r="508" spans="1:6" ht="30" customHeight="1">
      <c r="A508" s="4" t="s">
        <v>268</v>
      </c>
      <c r="B508" s="4" t="s">
        <v>269</v>
      </c>
      <c r="C508" s="4" t="s">
        <v>1273</v>
      </c>
      <c r="D508" s="4" t="s">
        <v>1390</v>
      </c>
      <c r="E508" s="4" t="s">
        <v>1391</v>
      </c>
      <c r="F508" s="4" t="s">
        <v>267</v>
      </c>
    </row>
    <row r="509" spans="1:6" ht="30" customHeight="1">
      <c r="A509" s="6" t="s">
        <v>268</v>
      </c>
      <c r="B509" s="6" t="s">
        <v>269</v>
      </c>
      <c r="C509" s="6" t="s">
        <v>1275</v>
      </c>
      <c r="D509" s="6" t="s">
        <v>1390</v>
      </c>
      <c r="E509" s="6" t="s">
        <v>1391</v>
      </c>
      <c r="F509" s="6" t="s">
        <v>267</v>
      </c>
    </row>
    <row r="510" spans="1:6" ht="30" customHeight="1">
      <c r="A510" s="4" t="s">
        <v>270</v>
      </c>
      <c r="B510" s="4" t="s">
        <v>271</v>
      </c>
      <c r="C510" s="4" t="s">
        <v>1259</v>
      </c>
      <c r="D510" s="4" t="s">
        <v>1390</v>
      </c>
      <c r="E510" s="4" t="s">
        <v>1391</v>
      </c>
      <c r="F510" s="4" t="s">
        <v>267</v>
      </c>
    </row>
    <row r="511" spans="1:6" ht="30" customHeight="1">
      <c r="A511" s="6" t="s">
        <v>270</v>
      </c>
      <c r="B511" s="6" t="s">
        <v>271</v>
      </c>
      <c r="C511" s="6" t="s">
        <v>1262</v>
      </c>
      <c r="D511" s="6" t="s">
        <v>1390</v>
      </c>
      <c r="E511" s="6" t="s">
        <v>1391</v>
      </c>
      <c r="F511" s="6" t="s">
        <v>267</v>
      </c>
    </row>
    <row r="512" spans="1:6" ht="30" customHeight="1">
      <c r="A512" s="4" t="s">
        <v>270</v>
      </c>
      <c r="B512" s="4" t="s">
        <v>271</v>
      </c>
      <c r="C512" s="4" t="s">
        <v>1263</v>
      </c>
      <c r="D512" s="4" t="s">
        <v>1390</v>
      </c>
      <c r="E512" s="4" t="s">
        <v>1391</v>
      </c>
      <c r="F512" s="4" t="s">
        <v>267</v>
      </c>
    </row>
    <row r="513" spans="1:6" ht="30" customHeight="1">
      <c r="A513" s="6" t="s">
        <v>270</v>
      </c>
      <c r="B513" s="6" t="s">
        <v>271</v>
      </c>
      <c r="C513" s="6" t="s">
        <v>1265</v>
      </c>
      <c r="D513" s="6" t="s">
        <v>1390</v>
      </c>
      <c r="E513" s="6" t="s">
        <v>1391</v>
      </c>
      <c r="F513" s="6" t="s">
        <v>267</v>
      </c>
    </row>
    <row r="514" spans="1:6" ht="30" customHeight="1">
      <c r="A514" s="4" t="s">
        <v>270</v>
      </c>
      <c r="B514" s="4" t="s">
        <v>271</v>
      </c>
      <c r="C514" s="4" t="s">
        <v>1267</v>
      </c>
      <c r="D514" s="4" t="s">
        <v>1390</v>
      </c>
      <c r="E514" s="4" t="s">
        <v>1391</v>
      </c>
      <c r="F514" s="4" t="s">
        <v>267</v>
      </c>
    </row>
    <row r="515" spans="1:6" ht="30" customHeight="1">
      <c r="A515" s="6" t="s">
        <v>270</v>
      </c>
      <c r="B515" s="6" t="s">
        <v>271</v>
      </c>
      <c r="C515" s="6" t="s">
        <v>1269</v>
      </c>
      <c r="D515" s="6" t="s">
        <v>1390</v>
      </c>
      <c r="E515" s="6" t="s">
        <v>1391</v>
      </c>
      <c r="F515" s="6" t="s">
        <v>267</v>
      </c>
    </row>
    <row r="516" spans="1:6" ht="30" customHeight="1">
      <c r="A516" s="4" t="s">
        <v>270</v>
      </c>
      <c r="B516" s="4" t="s">
        <v>271</v>
      </c>
      <c r="C516" s="4" t="s">
        <v>1271</v>
      </c>
      <c r="D516" s="4" t="s">
        <v>1390</v>
      </c>
      <c r="E516" s="4" t="s">
        <v>1391</v>
      </c>
      <c r="F516" s="4" t="s">
        <v>267</v>
      </c>
    </row>
    <row r="517" spans="1:6" ht="30" customHeight="1">
      <c r="A517" s="6" t="s">
        <v>270</v>
      </c>
      <c r="B517" s="6" t="s">
        <v>271</v>
      </c>
      <c r="C517" s="6" t="s">
        <v>1273</v>
      </c>
      <c r="D517" s="6" t="s">
        <v>1390</v>
      </c>
      <c r="E517" s="6" t="s">
        <v>1391</v>
      </c>
      <c r="F517" s="6" t="s">
        <v>267</v>
      </c>
    </row>
    <row r="518" spans="1:6" ht="30" customHeight="1">
      <c r="A518" s="4" t="s">
        <v>270</v>
      </c>
      <c r="B518" s="4" t="s">
        <v>271</v>
      </c>
      <c r="C518" s="4" t="s">
        <v>1275</v>
      </c>
      <c r="D518" s="4" t="s">
        <v>1390</v>
      </c>
      <c r="E518" s="4" t="s">
        <v>1391</v>
      </c>
      <c r="F518" s="4" t="s">
        <v>267</v>
      </c>
    </row>
    <row r="519" spans="1:6" ht="30" customHeight="1">
      <c r="A519" s="6" t="s">
        <v>272</v>
      </c>
      <c r="B519" s="6" t="s">
        <v>273</v>
      </c>
      <c r="C519" s="6" t="s">
        <v>1259</v>
      </c>
      <c r="D519" s="6" t="s">
        <v>1390</v>
      </c>
      <c r="E519" s="6" t="s">
        <v>1391</v>
      </c>
      <c r="F519" s="6" t="s">
        <v>267</v>
      </c>
    </row>
    <row r="520" spans="1:6" ht="30" customHeight="1">
      <c r="A520" s="4" t="s">
        <v>272</v>
      </c>
      <c r="B520" s="4" t="s">
        <v>273</v>
      </c>
      <c r="C520" s="4" t="s">
        <v>1262</v>
      </c>
      <c r="D520" s="4" t="s">
        <v>1390</v>
      </c>
      <c r="E520" s="4" t="s">
        <v>1391</v>
      </c>
      <c r="F520" s="4" t="s">
        <v>267</v>
      </c>
    </row>
    <row r="521" spans="1:6" ht="30" customHeight="1">
      <c r="A521" s="6" t="s">
        <v>272</v>
      </c>
      <c r="B521" s="6" t="s">
        <v>273</v>
      </c>
      <c r="C521" s="6" t="s">
        <v>1263</v>
      </c>
      <c r="D521" s="6" t="s">
        <v>1390</v>
      </c>
      <c r="E521" s="6" t="s">
        <v>1391</v>
      </c>
      <c r="F521" s="6" t="s">
        <v>267</v>
      </c>
    </row>
    <row r="522" spans="1:6" ht="30" customHeight="1">
      <c r="A522" s="4" t="s">
        <v>272</v>
      </c>
      <c r="B522" s="4" t="s">
        <v>273</v>
      </c>
      <c r="C522" s="4" t="s">
        <v>1265</v>
      </c>
      <c r="D522" s="4" t="s">
        <v>1390</v>
      </c>
      <c r="E522" s="4" t="s">
        <v>1391</v>
      </c>
      <c r="F522" s="4" t="s">
        <v>267</v>
      </c>
    </row>
    <row r="523" spans="1:6" ht="30" customHeight="1">
      <c r="A523" s="6" t="s">
        <v>272</v>
      </c>
      <c r="B523" s="6" t="s">
        <v>273</v>
      </c>
      <c r="C523" s="6" t="s">
        <v>1267</v>
      </c>
      <c r="D523" s="6" t="s">
        <v>1390</v>
      </c>
      <c r="E523" s="6" t="s">
        <v>1391</v>
      </c>
      <c r="F523" s="6" t="s">
        <v>267</v>
      </c>
    </row>
    <row r="524" spans="1:6" ht="30" customHeight="1">
      <c r="A524" s="4" t="s">
        <v>272</v>
      </c>
      <c r="B524" s="4" t="s">
        <v>273</v>
      </c>
      <c r="C524" s="4" t="s">
        <v>1269</v>
      </c>
      <c r="D524" s="4" t="s">
        <v>1390</v>
      </c>
      <c r="E524" s="4" t="s">
        <v>1391</v>
      </c>
      <c r="F524" s="4" t="s">
        <v>267</v>
      </c>
    </row>
    <row r="525" spans="1:6" ht="30" customHeight="1">
      <c r="A525" s="6" t="s">
        <v>272</v>
      </c>
      <c r="B525" s="6" t="s">
        <v>273</v>
      </c>
      <c r="C525" s="6" t="s">
        <v>1271</v>
      </c>
      <c r="D525" s="6" t="s">
        <v>1390</v>
      </c>
      <c r="E525" s="6" t="s">
        <v>1391</v>
      </c>
      <c r="F525" s="6" t="s">
        <v>267</v>
      </c>
    </row>
    <row r="526" spans="1:6" ht="30" customHeight="1">
      <c r="A526" s="4" t="s">
        <v>272</v>
      </c>
      <c r="B526" s="4" t="s">
        <v>273</v>
      </c>
      <c r="C526" s="4" t="s">
        <v>1273</v>
      </c>
      <c r="D526" s="4" t="s">
        <v>1390</v>
      </c>
      <c r="E526" s="4" t="s">
        <v>1391</v>
      </c>
      <c r="F526" s="4" t="s">
        <v>267</v>
      </c>
    </row>
    <row r="527" spans="1:6" ht="30" customHeight="1">
      <c r="A527" s="6" t="s">
        <v>272</v>
      </c>
      <c r="B527" s="6" t="s">
        <v>273</v>
      </c>
      <c r="C527" s="6" t="s">
        <v>1275</v>
      </c>
      <c r="D527" s="6" t="s">
        <v>1390</v>
      </c>
      <c r="E527" s="6" t="s">
        <v>1391</v>
      </c>
      <c r="F527" s="6" t="s">
        <v>267</v>
      </c>
    </row>
    <row r="528" spans="1:6" ht="30" customHeight="1">
      <c r="A528" s="4" t="s">
        <v>274</v>
      </c>
      <c r="B528" s="4" t="s">
        <v>275</v>
      </c>
      <c r="C528" s="4" t="s">
        <v>1259</v>
      </c>
      <c r="D528" s="4" t="s">
        <v>1390</v>
      </c>
      <c r="E528" s="4" t="s">
        <v>1391</v>
      </c>
      <c r="F528" s="4" t="s">
        <v>267</v>
      </c>
    </row>
    <row r="529" spans="1:6" ht="30" customHeight="1">
      <c r="A529" s="6" t="s">
        <v>274</v>
      </c>
      <c r="B529" s="6" t="s">
        <v>275</v>
      </c>
      <c r="C529" s="6" t="s">
        <v>1262</v>
      </c>
      <c r="D529" s="6" t="s">
        <v>1390</v>
      </c>
      <c r="E529" s="6" t="s">
        <v>1391</v>
      </c>
      <c r="F529" s="6" t="s">
        <v>267</v>
      </c>
    </row>
    <row r="530" spans="1:6" ht="30" customHeight="1">
      <c r="A530" s="4" t="s">
        <v>274</v>
      </c>
      <c r="B530" s="4" t="s">
        <v>275</v>
      </c>
      <c r="C530" s="4" t="s">
        <v>1263</v>
      </c>
      <c r="D530" s="4" t="s">
        <v>1390</v>
      </c>
      <c r="E530" s="4" t="s">
        <v>1391</v>
      </c>
      <c r="F530" s="4" t="s">
        <v>267</v>
      </c>
    </row>
    <row r="531" spans="1:6" ht="30" customHeight="1">
      <c r="A531" s="6" t="s">
        <v>274</v>
      </c>
      <c r="B531" s="6" t="s">
        <v>275</v>
      </c>
      <c r="C531" s="6" t="s">
        <v>1265</v>
      </c>
      <c r="D531" s="6" t="s">
        <v>1390</v>
      </c>
      <c r="E531" s="6" t="s">
        <v>1391</v>
      </c>
      <c r="F531" s="6" t="s">
        <v>267</v>
      </c>
    </row>
    <row r="532" spans="1:6" ht="30" customHeight="1">
      <c r="A532" s="4" t="s">
        <v>274</v>
      </c>
      <c r="B532" s="4" t="s">
        <v>275</v>
      </c>
      <c r="C532" s="4" t="s">
        <v>1267</v>
      </c>
      <c r="D532" s="4" t="s">
        <v>1390</v>
      </c>
      <c r="E532" s="4" t="s">
        <v>1391</v>
      </c>
      <c r="F532" s="4" t="s">
        <v>267</v>
      </c>
    </row>
    <row r="533" spans="1:6" ht="30" customHeight="1">
      <c r="A533" s="6" t="s">
        <v>274</v>
      </c>
      <c r="B533" s="6" t="s">
        <v>275</v>
      </c>
      <c r="C533" s="6" t="s">
        <v>1269</v>
      </c>
      <c r="D533" s="6" t="s">
        <v>1390</v>
      </c>
      <c r="E533" s="6" t="s">
        <v>1391</v>
      </c>
      <c r="F533" s="6" t="s">
        <v>267</v>
      </c>
    </row>
    <row r="534" spans="1:6" ht="30" customHeight="1">
      <c r="A534" s="4" t="s">
        <v>274</v>
      </c>
      <c r="B534" s="4" t="s">
        <v>275</v>
      </c>
      <c r="C534" s="4" t="s">
        <v>1271</v>
      </c>
      <c r="D534" s="4" t="s">
        <v>1390</v>
      </c>
      <c r="E534" s="4" t="s">
        <v>1391</v>
      </c>
      <c r="F534" s="4" t="s">
        <v>267</v>
      </c>
    </row>
    <row r="535" spans="1:6" ht="30" customHeight="1">
      <c r="A535" s="6" t="s">
        <v>274</v>
      </c>
      <c r="B535" s="6" t="s">
        <v>275</v>
      </c>
      <c r="C535" s="6" t="s">
        <v>1273</v>
      </c>
      <c r="D535" s="6" t="s">
        <v>1390</v>
      </c>
      <c r="E535" s="6" t="s">
        <v>1391</v>
      </c>
      <c r="F535" s="6" t="s">
        <v>267</v>
      </c>
    </row>
    <row r="536" spans="1:6" ht="30" customHeight="1">
      <c r="A536" s="4" t="s">
        <v>274</v>
      </c>
      <c r="B536" s="4" t="s">
        <v>275</v>
      </c>
      <c r="C536" s="4" t="s">
        <v>1275</v>
      </c>
      <c r="D536" s="4" t="s">
        <v>1390</v>
      </c>
      <c r="E536" s="4" t="s">
        <v>1391</v>
      </c>
      <c r="F536" s="4" t="s">
        <v>267</v>
      </c>
    </row>
    <row r="537" spans="1:6" ht="30" customHeight="1">
      <c r="A537" s="6" t="s">
        <v>276</v>
      </c>
      <c r="B537" s="6" t="s">
        <v>277</v>
      </c>
      <c r="C537" s="6" t="s">
        <v>1259</v>
      </c>
      <c r="D537" s="6" t="s">
        <v>1390</v>
      </c>
      <c r="E537" s="6" t="s">
        <v>1391</v>
      </c>
      <c r="F537" s="6" t="s">
        <v>267</v>
      </c>
    </row>
    <row r="538" spans="1:6" ht="30" customHeight="1">
      <c r="A538" s="4" t="s">
        <v>276</v>
      </c>
      <c r="B538" s="4" t="s">
        <v>277</v>
      </c>
      <c r="C538" s="4" t="s">
        <v>1262</v>
      </c>
      <c r="D538" s="4" t="s">
        <v>1390</v>
      </c>
      <c r="E538" s="4" t="s">
        <v>1391</v>
      </c>
      <c r="F538" s="4" t="s">
        <v>267</v>
      </c>
    </row>
    <row r="539" spans="1:6" ht="30" customHeight="1">
      <c r="A539" s="6" t="s">
        <v>276</v>
      </c>
      <c r="B539" s="6" t="s">
        <v>277</v>
      </c>
      <c r="C539" s="6" t="s">
        <v>1263</v>
      </c>
      <c r="D539" s="6" t="s">
        <v>1390</v>
      </c>
      <c r="E539" s="6" t="s">
        <v>1391</v>
      </c>
      <c r="F539" s="6" t="s">
        <v>267</v>
      </c>
    </row>
    <row r="540" spans="1:6" ht="30" customHeight="1">
      <c r="A540" s="4" t="s">
        <v>276</v>
      </c>
      <c r="B540" s="4" t="s">
        <v>277</v>
      </c>
      <c r="C540" s="4" t="s">
        <v>1265</v>
      </c>
      <c r="D540" s="4" t="s">
        <v>1390</v>
      </c>
      <c r="E540" s="4" t="s">
        <v>1391</v>
      </c>
      <c r="F540" s="4" t="s">
        <v>267</v>
      </c>
    </row>
    <row r="541" spans="1:6" ht="30" customHeight="1">
      <c r="A541" s="6" t="s">
        <v>276</v>
      </c>
      <c r="B541" s="6" t="s">
        <v>277</v>
      </c>
      <c r="C541" s="6" t="s">
        <v>1267</v>
      </c>
      <c r="D541" s="6" t="s">
        <v>1390</v>
      </c>
      <c r="E541" s="6" t="s">
        <v>1391</v>
      </c>
      <c r="F541" s="6" t="s">
        <v>267</v>
      </c>
    </row>
    <row r="542" spans="1:6" ht="30" customHeight="1">
      <c r="A542" s="4" t="s">
        <v>276</v>
      </c>
      <c r="B542" s="4" t="s">
        <v>277</v>
      </c>
      <c r="C542" s="4" t="s">
        <v>1269</v>
      </c>
      <c r="D542" s="4" t="s">
        <v>1390</v>
      </c>
      <c r="E542" s="4" t="s">
        <v>1391</v>
      </c>
      <c r="F542" s="4" t="s">
        <v>267</v>
      </c>
    </row>
    <row r="543" spans="1:6" ht="30" customHeight="1">
      <c r="A543" s="6" t="s">
        <v>276</v>
      </c>
      <c r="B543" s="6" t="s">
        <v>277</v>
      </c>
      <c r="C543" s="6" t="s">
        <v>1271</v>
      </c>
      <c r="D543" s="6" t="s">
        <v>1390</v>
      </c>
      <c r="E543" s="6" t="s">
        <v>1391</v>
      </c>
      <c r="F543" s="6" t="s">
        <v>267</v>
      </c>
    </row>
    <row r="544" spans="1:6" ht="30" customHeight="1">
      <c r="A544" s="4" t="s">
        <v>276</v>
      </c>
      <c r="B544" s="4" t="s">
        <v>277</v>
      </c>
      <c r="C544" s="4" t="s">
        <v>1273</v>
      </c>
      <c r="D544" s="4" t="s">
        <v>1390</v>
      </c>
      <c r="E544" s="4" t="s">
        <v>1391</v>
      </c>
      <c r="F544" s="4" t="s">
        <v>267</v>
      </c>
    </row>
    <row r="545" spans="1:6" ht="30" customHeight="1">
      <c r="A545" s="6" t="s">
        <v>276</v>
      </c>
      <c r="B545" s="6" t="s">
        <v>277</v>
      </c>
      <c r="C545" s="6" t="s">
        <v>1275</v>
      </c>
      <c r="D545" s="6" t="s">
        <v>1390</v>
      </c>
      <c r="E545" s="6" t="s">
        <v>1391</v>
      </c>
      <c r="F545" s="6" t="s">
        <v>267</v>
      </c>
    </row>
    <row r="546" spans="1:6" ht="30" customHeight="1">
      <c r="A546" s="4" t="s">
        <v>278</v>
      </c>
      <c r="B546" s="4" t="s">
        <v>279</v>
      </c>
      <c r="C546" s="4" t="s">
        <v>1259</v>
      </c>
      <c r="D546" s="4" t="s">
        <v>1390</v>
      </c>
      <c r="E546" s="4" t="s">
        <v>1391</v>
      </c>
      <c r="F546" s="4" t="s">
        <v>267</v>
      </c>
    </row>
    <row r="547" spans="1:6" ht="30" customHeight="1">
      <c r="A547" s="6" t="s">
        <v>278</v>
      </c>
      <c r="B547" s="6" t="s">
        <v>279</v>
      </c>
      <c r="C547" s="6" t="s">
        <v>1262</v>
      </c>
      <c r="D547" s="6" t="s">
        <v>1390</v>
      </c>
      <c r="E547" s="6" t="s">
        <v>1391</v>
      </c>
      <c r="F547" s="6" t="s">
        <v>267</v>
      </c>
    </row>
    <row r="548" spans="1:6" ht="30" customHeight="1">
      <c r="A548" s="4" t="s">
        <v>278</v>
      </c>
      <c r="B548" s="4" t="s">
        <v>279</v>
      </c>
      <c r="C548" s="4" t="s">
        <v>1263</v>
      </c>
      <c r="D548" s="4" t="s">
        <v>1390</v>
      </c>
      <c r="E548" s="4" t="s">
        <v>1391</v>
      </c>
      <c r="F548" s="4" t="s">
        <v>267</v>
      </c>
    </row>
    <row r="549" spans="1:6" ht="30" customHeight="1">
      <c r="A549" s="6" t="s">
        <v>278</v>
      </c>
      <c r="B549" s="6" t="s">
        <v>279</v>
      </c>
      <c r="C549" s="6" t="s">
        <v>1265</v>
      </c>
      <c r="D549" s="6" t="s">
        <v>1390</v>
      </c>
      <c r="E549" s="6" t="s">
        <v>1391</v>
      </c>
      <c r="F549" s="6" t="s">
        <v>267</v>
      </c>
    </row>
    <row r="550" spans="1:6" ht="30" customHeight="1">
      <c r="A550" s="4" t="s">
        <v>278</v>
      </c>
      <c r="B550" s="4" t="s">
        <v>279</v>
      </c>
      <c r="C550" s="4" t="s">
        <v>1267</v>
      </c>
      <c r="D550" s="4" t="s">
        <v>1390</v>
      </c>
      <c r="E550" s="4" t="s">
        <v>1391</v>
      </c>
      <c r="F550" s="4" t="s">
        <v>267</v>
      </c>
    </row>
    <row r="551" spans="1:6" ht="30" customHeight="1">
      <c r="A551" s="6" t="s">
        <v>278</v>
      </c>
      <c r="B551" s="6" t="s">
        <v>279</v>
      </c>
      <c r="C551" s="6" t="s">
        <v>1269</v>
      </c>
      <c r="D551" s="6" t="s">
        <v>1390</v>
      </c>
      <c r="E551" s="6" t="s">
        <v>1391</v>
      </c>
      <c r="F551" s="6" t="s">
        <v>267</v>
      </c>
    </row>
    <row r="552" spans="1:6" ht="30" customHeight="1">
      <c r="A552" s="4" t="s">
        <v>278</v>
      </c>
      <c r="B552" s="4" t="s">
        <v>279</v>
      </c>
      <c r="C552" s="4" t="s">
        <v>1271</v>
      </c>
      <c r="D552" s="4" t="s">
        <v>1390</v>
      </c>
      <c r="E552" s="4" t="s">
        <v>1391</v>
      </c>
      <c r="F552" s="4" t="s">
        <v>267</v>
      </c>
    </row>
    <row r="553" spans="1:6" ht="30" customHeight="1">
      <c r="A553" s="6" t="s">
        <v>278</v>
      </c>
      <c r="B553" s="6" t="s">
        <v>279</v>
      </c>
      <c r="C553" s="6" t="s">
        <v>1273</v>
      </c>
      <c r="D553" s="6" t="s">
        <v>1390</v>
      </c>
      <c r="E553" s="6" t="s">
        <v>1391</v>
      </c>
      <c r="F553" s="6" t="s">
        <v>267</v>
      </c>
    </row>
    <row r="554" spans="1:6" ht="30" customHeight="1">
      <c r="A554" s="4" t="s">
        <v>278</v>
      </c>
      <c r="B554" s="4" t="s">
        <v>279</v>
      </c>
      <c r="C554" s="4" t="s">
        <v>1275</v>
      </c>
      <c r="D554" s="4" t="s">
        <v>1390</v>
      </c>
      <c r="E554" s="4" t="s">
        <v>1391</v>
      </c>
      <c r="F554" s="4" t="s">
        <v>267</v>
      </c>
    </row>
    <row r="555" spans="1:6" ht="30" customHeight="1">
      <c r="A555" s="6" t="s">
        <v>280</v>
      </c>
      <c r="B555" s="6" t="s">
        <v>281</v>
      </c>
      <c r="C555" s="6" t="s">
        <v>1259</v>
      </c>
      <c r="D555" s="6" t="s">
        <v>1390</v>
      </c>
      <c r="E555" s="6" t="s">
        <v>1391</v>
      </c>
      <c r="F555" s="6" t="s">
        <v>267</v>
      </c>
    </row>
    <row r="556" spans="1:6" ht="30" customHeight="1">
      <c r="A556" s="4" t="s">
        <v>280</v>
      </c>
      <c r="B556" s="4" t="s">
        <v>281</v>
      </c>
      <c r="C556" s="4" t="s">
        <v>1262</v>
      </c>
      <c r="D556" s="4" t="s">
        <v>1390</v>
      </c>
      <c r="E556" s="4" t="s">
        <v>1391</v>
      </c>
      <c r="F556" s="4" t="s">
        <v>267</v>
      </c>
    </row>
    <row r="557" spans="1:6" ht="30" customHeight="1">
      <c r="A557" s="6" t="s">
        <v>280</v>
      </c>
      <c r="B557" s="6" t="s">
        <v>281</v>
      </c>
      <c r="C557" s="6" t="s">
        <v>1263</v>
      </c>
      <c r="D557" s="6" t="s">
        <v>1390</v>
      </c>
      <c r="E557" s="6" t="s">
        <v>1391</v>
      </c>
      <c r="F557" s="6" t="s">
        <v>267</v>
      </c>
    </row>
    <row r="558" spans="1:6" ht="30" customHeight="1">
      <c r="A558" s="4" t="s">
        <v>280</v>
      </c>
      <c r="B558" s="4" t="s">
        <v>281</v>
      </c>
      <c r="C558" s="4" t="s">
        <v>1265</v>
      </c>
      <c r="D558" s="4" t="s">
        <v>1390</v>
      </c>
      <c r="E558" s="4" t="s">
        <v>1391</v>
      </c>
      <c r="F558" s="4" t="s">
        <v>267</v>
      </c>
    </row>
    <row r="559" spans="1:6" ht="30" customHeight="1">
      <c r="A559" s="6" t="s">
        <v>280</v>
      </c>
      <c r="B559" s="6" t="s">
        <v>281</v>
      </c>
      <c r="C559" s="6" t="s">
        <v>1267</v>
      </c>
      <c r="D559" s="6" t="s">
        <v>1390</v>
      </c>
      <c r="E559" s="6" t="s">
        <v>1391</v>
      </c>
      <c r="F559" s="6" t="s">
        <v>267</v>
      </c>
    </row>
    <row r="560" spans="1:6" ht="30" customHeight="1">
      <c r="A560" s="4" t="s">
        <v>280</v>
      </c>
      <c r="B560" s="4" t="s">
        <v>281</v>
      </c>
      <c r="C560" s="4" t="s">
        <v>1269</v>
      </c>
      <c r="D560" s="4" t="s">
        <v>1390</v>
      </c>
      <c r="E560" s="4" t="s">
        <v>1391</v>
      </c>
      <c r="F560" s="4" t="s">
        <v>267</v>
      </c>
    </row>
    <row r="561" spans="1:6" ht="30" customHeight="1">
      <c r="A561" s="6" t="s">
        <v>280</v>
      </c>
      <c r="B561" s="6" t="s">
        <v>281</v>
      </c>
      <c r="C561" s="6" t="s">
        <v>1271</v>
      </c>
      <c r="D561" s="6" t="s">
        <v>1390</v>
      </c>
      <c r="E561" s="6" t="s">
        <v>1391</v>
      </c>
      <c r="F561" s="6" t="s">
        <v>267</v>
      </c>
    </row>
    <row r="562" spans="1:6" ht="30" customHeight="1">
      <c r="A562" s="4" t="s">
        <v>280</v>
      </c>
      <c r="B562" s="4" t="s">
        <v>281</v>
      </c>
      <c r="C562" s="4" t="s">
        <v>1273</v>
      </c>
      <c r="D562" s="4" t="s">
        <v>1390</v>
      </c>
      <c r="E562" s="4" t="s">
        <v>1391</v>
      </c>
      <c r="F562" s="4" t="s">
        <v>267</v>
      </c>
    </row>
    <row r="563" spans="1:6" ht="30" customHeight="1">
      <c r="A563" s="6" t="s">
        <v>280</v>
      </c>
      <c r="B563" s="6" t="s">
        <v>281</v>
      </c>
      <c r="C563" s="6" t="s">
        <v>1275</v>
      </c>
      <c r="D563" s="6" t="s">
        <v>1390</v>
      </c>
      <c r="E563" s="6" t="s">
        <v>1391</v>
      </c>
      <c r="F563" s="6" t="s">
        <v>267</v>
      </c>
    </row>
    <row r="564" spans="1:6" ht="30" customHeight="1">
      <c r="A564" s="4" t="s">
        <v>282</v>
      </c>
      <c r="B564" s="4" t="s">
        <v>283</v>
      </c>
      <c r="C564" s="4" t="s">
        <v>1259</v>
      </c>
      <c r="D564" s="4" t="s">
        <v>1390</v>
      </c>
      <c r="E564" s="4" t="s">
        <v>1391</v>
      </c>
      <c r="F564" s="4" t="s">
        <v>267</v>
      </c>
    </row>
    <row r="565" spans="1:6" ht="30" customHeight="1">
      <c r="A565" s="6" t="s">
        <v>282</v>
      </c>
      <c r="B565" s="6" t="s">
        <v>283</v>
      </c>
      <c r="C565" s="6" t="s">
        <v>1262</v>
      </c>
      <c r="D565" s="6" t="s">
        <v>1390</v>
      </c>
      <c r="E565" s="6" t="s">
        <v>1391</v>
      </c>
      <c r="F565" s="6" t="s">
        <v>267</v>
      </c>
    </row>
    <row r="566" spans="1:6" ht="30" customHeight="1">
      <c r="A566" s="4" t="s">
        <v>282</v>
      </c>
      <c r="B566" s="4" t="s">
        <v>283</v>
      </c>
      <c r="C566" s="4" t="s">
        <v>1263</v>
      </c>
      <c r="D566" s="4" t="s">
        <v>1390</v>
      </c>
      <c r="E566" s="4" t="s">
        <v>1391</v>
      </c>
      <c r="F566" s="4" t="s">
        <v>267</v>
      </c>
    </row>
    <row r="567" spans="1:6" ht="30" customHeight="1">
      <c r="A567" s="6" t="s">
        <v>282</v>
      </c>
      <c r="B567" s="6" t="s">
        <v>283</v>
      </c>
      <c r="C567" s="6" t="s">
        <v>1265</v>
      </c>
      <c r="D567" s="6" t="s">
        <v>1390</v>
      </c>
      <c r="E567" s="6" t="s">
        <v>1391</v>
      </c>
      <c r="F567" s="6" t="s">
        <v>267</v>
      </c>
    </row>
    <row r="568" spans="1:6" ht="30" customHeight="1">
      <c r="A568" s="4" t="s">
        <v>282</v>
      </c>
      <c r="B568" s="4" t="s">
        <v>283</v>
      </c>
      <c r="C568" s="4" t="s">
        <v>1267</v>
      </c>
      <c r="D568" s="4" t="s">
        <v>1390</v>
      </c>
      <c r="E568" s="4" t="s">
        <v>1391</v>
      </c>
      <c r="F568" s="4" t="s">
        <v>267</v>
      </c>
    </row>
    <row r="569" spans="1:6" ht="30" customHeight="1">
      <c r="A569" s="6" t="s">
        <v>282</v>
      </c>
      <c r="B569" s="6" t="s">
        <v>283</v>
      </c>
      <c r="C569" s="6" t="s">
        <v>1269</v>
      </c>
      <c r="D569" s="6" t="s">
        <v>1390</v>
      </c>
      <c r="E569" s="6" t="s">
        <v>1391</v>
      </c>
      <c r="F569" s="6" t="s">
        <v>267</v>
      </c>
    </row>
    <row r="570" spans="1:6" ht="30" customHeight="1">
      <c r="A570" s="4" t="s">
        <v>282</v>
      </c>
      <c r="B570" s="4" t="s">
        <v>283</v>
      </c>
      <c r="C570" s="4" t="s">
        <v>1271</v>
      </c>
      <c r="D570" s="4" t="s">
        <v>1390</v>
      </c>
      <c r="E570" s="4" t="s">
        <v>1391</v>
      </c>
      <c r="F570" s="4" t="s">
        <v>267</v>
      </c>
    </row>
    <row r="571" spans="1:6" ht="30" customHeight="1">
      <c r="A571" s="6" t="s">
        <v>282</v>
      </c>
      <c r="B571" s="6" t="s">
        <v>283</v>
      </c>
      <c r="C571" s="6" t="s">
        <v>1273</v>
      </c>
      <c r="D571" s="6" t="s">
        <v>1390</v>
      </c>
      <c r="E571" s="6" t="s">
        <v>1391</v>
      </c>
      <c r="F571" s="6" t="s">
        <v>267</v>
      </c>
    </row>
    <row r="572" spans="1:6" ht="30" customHeight="1">
      <c r="A572" s="4" t="s">
        <v>282</v>
      </c>
      <c r="B572" s="4" t="s">
        <v>283</v>
      </c>
      <c r="C572" s="4" t="s">
        <v>1275</v>
      </c>
      <c r="D572" s="4" t="s">
        <v>1390</v>
      </c>
      <c r="E572" s="4" t="s">
        <v>1391</v>
      </c>
      <c r="F572" s="4" t="s">
        <v>267</v>
      </c>
    </row>
    <row r="573" spans="1:6" ht="30" customHeight="1">
      <c r="A573" s="6" t="s">
        <v>284</v>
      </c>
      <c r="B573" s="6" t="s">
        <v>285</v>
      </c>
      <c r="C573" s="6" t="s">
        <v>1259</v>
      </c>
      <c r="D573" s="6" t="s">
        <v>1390</v>
      </c>
      <c r="E573" s="6" t="s">
        <v>1391</v>
      </c>
      <c r="F573" s="6" t="s">
        <v>267</v>
      </c>
    </row>
    <row r="574" spans="1:6" ht="30" customHeight="1">
      <c r="A574" s="4" t="s">
        <v>284</v>
      </c>
      <c r="B574" s="4" t="s">
        <v>285</v>
      </c>
      <c r="C574" s="4" t="s">
        <v>1262</v>
      </c>
      <c r="D574" s="4" t="s">
        <v>1390</v>
      </c>
      <c r="E574" s="4" t="s">
        <v>1391</v>
      </c>
      <c r="F574" s="4" t="s">
        <v>267</v>
      </c>
    </row>
    <row r="575" spans="1:6" ht="30" customHeight="1">
      <c r="A575" s="6" t="s">
        <v>284</v>
      </c>
      <c r="B575" s="6" t="s">
        <v>285</v>
      </c>
      <c r="C575" s="6" t="s">
        <v>1263</v>
      </c>
      <c r="D575" s="6" t="s">
        <v>1390</v>
      </c>
      <c r="E575" s="6" t="s">
        <v>1391</v>
      </c>
      <c r="F575" s="6" t="s">
        <v>267</v>
      </c>
    </row>
    <row r="576" spans="1:6" ht="30" customHeight="1">
      <c r="A576" s="4" t="s">
        <v>284</v>
      </c>
      <c r="B576" s="4" t="s">
        <v>285</v>
      </c>
      <c r="C576" s="4" t="s">
        <v>1265</v>
      </c>
      <c r="D576" s="4" t="s">
        <v>1390</v>
      </c>
      <c r="E576" s="4" t="s">
        <v>1391</v>
      </c>
      <c r="F576" s="4" t="s">
        <v>267</v>
      </c>
    </row>
    <row r="577" spans="1:6" ht="30" customHeight="1">
      <c r="A577" s="6" t="s">
        <v>284</v>
      </c>
      <c r="B577" s="6" t="s">
        <v>285</v>
      </c>
      <c r="C577" s="6" t="s">
        <v>1267</v>
      </c>
      <c r="D577" s="6" t="s">
        <v>1390</v>
      </c>
      <c r="E577" s="6" t="s">
        <v>1391</v>
      </c>
      <c r="F577" s="6" t="s">
        <v>267</v>
      </c>
    </row>
    <row r="578" spans="1:6" ht="30" customHeight="1">
      <c r="A578" s="4" t="s">
        <v>284</v>
      </c>
      <c r="B578" s="4" t="s">
        <v>285</v>
      </c>
      <c r="C578" s="4" t="s">
        <v>1269</v>
      </c>
      <c r="D578" s="4" t="s">
        <v>1390</v>
      </c>
      <c r="E578" s="4" t="s">
        <v>1391</v>
      </c>
      <c r="F578" s="4" t="s">
        <v>267</v>
      </c>
    </row>
    <row r="579" spans="1:6" ht="30" customHeight="1">
      <c r="A579" s="6" t="s">
        <v>284</v>
      </c>
      <c r="B579" s="6" t="s">
        <v>285</v>
      </c>
      <c r="C579" s="6" t="s">
        <v>1271</v>
      </c>
      <c r="D579" s="6" t="s">
        <v>1390</v>
      </c>
      <c r="E579" s="6" t="s">
        <v>1391</v>
      </c>
      <c r="F579" s="6" t="s">
        <v>267</v>
      </c>
    </row>
    <row r="580" spans="1:6" ht="30" customHeight="1">
      <c r="A580" s="4" t="s">
        <v>284</v>
      </c>
      <c r="B580" s="4" t="s">
        <v>285</v>
      </c>
      <c r="C580" s="4" t="s">
        <v>1273</v>
      </c>
      <c r="D580" s="4" t="s">
        <v>1390</v>
      </c>
      <c r="E580" s="4" t="s">
        <v>1391</v>
      </c>
      <c r="F580" s="4" t="s">
        <v>267</v>
      </c>
    </row>
    <row r="581" spans="1:6" ht="30" customHeight="1">
      <c r="A581" s="6" t="s">
        <v>284</v>
      </c>
      <c r="B581" s="6" t="s">
        <v>285</v>
      </c>
      <c r="C581" s="6" t="s">
        <v>1275</v>
      </c>
      <c r="D581" s="6" t="s">
        <v>1390</v>
      </c>
      <c r="E581" s="6" t="s">
        <v>1391</v>
      </c>
      <c r="F581" s="6" t="s">
        <v>267</v>
      </c>
    </row>
    <row r="582" spans="1:6" ht="30" customHeight="1">
      <c r="A582" s="4" t="s">
        <v>286</v>
      </c>
      <c r="B582" s="4" t="s">
        <v>287</v>
      </c>
      <c r="C582" s="4" t="s">
        <v>1259</v>
      </c>
      <c r="D582" s="4" t="s">
        <v>1390</v>
      </c>
      <c r="E582" s="4" t="s">
        <v>1391</v>
      </c>
      <c r="F582" s="4" t="s">
        <v>267</v>
      </c>
    </row>
    <row r="583" spans="1:6" ht="30" customHeight="1">
      <c r="A583" s="6" t="s">
        <v>286</v>
      </c>
      <c r="B583" s="6" t="s">
        <v>287</v>
      </c>
      <c r="C583" s="6" t="s">
        <v>1262</v>
      </c>
      <c r="D583" s="6" t="s">
        <v>1390</v>
      </c>
      <c r="E583" s="6" t="s">
        <v>1391</v>
      </c>
      <c r="F583" s="6" t="s">
        <v>267</v>
      </c>
    </row>
    <row r="584" spans="1:6" ht="30" customHeight="1">
      <c r="A584" s="4" t="s">
        <v>286</v>
      </c>
      <c r="B584" s="4" t="s">
        <v>287</v>
      </c>
      <c r="C584" s="4" t="s">
        <v>1263</v>
      </c>
      <c r="D584" s="4" t="s">
        <v>1390</v>
      </c>
      <c r="E584" s="4" t="s">
        <v>1391</v>
      </c>
      <c r="F584" s="4" t="s">
        <v>267</v>
      </c>
    </row>
    <row r="585" spans="1:6" ht="30" customHeight="1">
      <c r="A585" s="6" t="s">
        <v>286</v>
      </c>
      <c r="B585" s="6" t="s">
        <v>287</v>
      </c>
      <c r="C585" s="6" t="s">
        <v>1265</v>
      </c>
      <c r="D585" s="6" t="s">
        <v>1390</v>
      </c>
      <c r="E585" s="6" t="s">
        <v>1391</v>
      </c>
      <c r="F585" s="6" t="s">
        <v>267</v>
      </c>
    </row>
    <row r="586" spans="1:6" ht="30" customHeight="1">
      <c r="A586" s="4" t="s">
        <v>286</v>
      </c>
      <c r="B586" s="4" t="s">
        <v>287</v>
      </c>
      <c r="C586" s="4" t="s">
        <v>1267</v>
      </c>
      <c r="D586" s="4" t="s">
        <v>1390</v>
      </c>
      <c r="E586" s="4" t="s">
        <v>1391</v>
      </c>
      <c r="F586" s="4" t="s">
        <v>267</v>
      </c>
    </row>
    <row r="587" spans="1:6" ht="30" customHeight="1">
      <c r="A587" s="6" t="s">
        <v>286</v>
      </c>
      <c r="B587" s="6" t="s">
        <v>287</v>
      </c>
      <c r="C587" s="6" t="s">
        <v>1269</v>
      </c>
      <c r="D587" s="6" t="s">
        <v>1390</v>
      </c>
      <c r="E587" s="6" t="s">
        <v>1391</v>
      </c>
      <c r="F587" s="6" t="s">
        <v>267</v>
      </c>
    </row>
    <row r="588" spans="1:6" ht="30" customHeight="1">
      <c r="A588" s="4" t="s">
        <v>286</v>
      </c>
      <c r="B588" s="4" t="s">
        <v>287</v>
      </c>
      <c r="C588" s="4" t="s">
        <v>1271</v>
      </c>
      <c r="D588" s="4" t="s">
        <v>1390</v>
      </c>
      <c r="E588" s="4" t="s">
        <v>1391</v>
      </c>
      <c r="F588" s="4" t="s">
        <v>267</v>
      </c>
    </row>
    <row r="589" spans="1:6" ht="30" customHeight="1">
      <c r="A589" s="6" t="s">
        <v>286</v>
      </c>
      <c r="B589" s="6" t="s">
        <v>287</v>
      </c>
      <c r="C589" s="6" t="s">
        <v>1273</v>
      </c>
      <c r="D589" s="6" t="s">
        <v>1390</v>
      </c>
      <c r="E589" s="6" t="s">
        <v>1391</v>
      </c>
      <c r="F589" s="6" t="s">
        <v>267</v>
      </c>
    </row>
    <row r="590" spans="1:6" ht="30" customHeight="1">
      <c r="A590" s="4" t="s">
        <v>286</v>
      </c>
      <c r="B590" s="4" t="s">
        <v>287</v>
      </c>
      <c r="C590" s="4" t="s">
        <v>1275</v>
      </c>
      <c r="D590" s="4" t="s">
        <v>1390</v>
      </c>
      <c r="E590" s="4" t="s">
        <v>1391</v>
      </c>
      <c r="F590" s="4" t="s">
        <v>267</v>
      </c>
    </row>
    <row r="591" spans="1:6" ht="30" customHeight="1">
      <c r="A591" s="6" t="s">
        <v>288</v>
      </c>
      <c r="B591" s="6" t="s">
        <v>289</v>
      </c>
      <c r="C591" s="6" t="s">
        <v>1259</v>
      </c>
      <c r="D591" s="6" t="s">
        <v>1390</v>
      </c>
      <c r="E591" s="6" t="s">
        <v>1391</v>
      </c>
      <c r="F591" s="6" t="s">
        <v>267</v>
      </c>
    </row>
    <row r="592" spans="1:6" ht="30" customHeight="1">
      <c r="A592" s="4" t="s">
        <v>288</v>
      </c>
      <c r="B592" s="4" t="s">
        <v>289</v>
      </c>
      <c r="C592" s="4" t="s">
        <v>1262</v>
      </c>
      <c r="D592" s="4" t="s">
        <v>1390</v>
      </c>
      <c r="E592" s="4" t="s">
        <v>1391</v>
      </c>
      <c r="F592" s="4" t="s">
        <v>267</v>
      </c>
    </row>
    <row r="593" spans="1:6" ht="30" customHeight="1">
      <c r="A593" s="6" t="s">
        <v>288</v>
      </c>
      <c r="B593" s="6" t="s">
        <v>289</v>
      </c>
      <c r="C593" s="6" t="s">
        <v>1263</v>
      </c>
      <c r="D593" s="6" t="s">
        <v>1390</v>
      </c>
      <c r="E593" s="6" t="s">
        <v>1391</v>
      </c>
      <c r="F593" s="6" t="s">
        <v>267</v>
      </c>
    </row>
    <row r="594" spans="1:6" ht="30" customHeight="1">
      <c r="A594" s="4" t="s">
        <v>288</v>
      </c>
      <c r="B594" s="4" t="s">
        <v>289</v>
      </c>
      <c r="C594" s="4" t="s">
        <v>1265</v>
      </c>
      <c r="D594" s="4" t="s">
        <v>1390</v>
      </c>
      <c r="E594" s="4" t="s">
        <v>1391</v>
      </c>
      <c r="F594" s="4" t="s">
        <v>267</v>
      </c>
    </row>
    <row r="595" spans="1:6" ht="30" customHeight="1">
      <c r="A595" s="6" t="s">
        <v>288</v>
      </c>
      <c r="B595" s="6" t="s">
        <v>289</v>
      </c>
      <c r="C595" s="6" t="s">
        <v>1267</v>
      </c>
      <c r="D595" s="6" t="s">
        <v>1390</v>
      </c>
      <c r="E595" s="6" t="s">
        <v>1391</v>
      </c>
      <c r="F595" s="6" t="s">
        <v>267</v>
      </c>
    </row>
    <row r="596" spans="1:6" ht="30" customHeight="1">
      <c r="A596" s="4" t="s">
        <v>288</v>
      </c>
      <c r="B596" s="4" t="s">
        <v>289</v>
      </c>
      <c r="C596" s="4" t="s">
        <v>1269</v>
      </c>
      <c r="D596" s="4" t="s">
        <v>1390</v>
      </c>
      <c r="E596" s="4" t="s">
        <v>1391</v>
      </c>
      <c r="F596" s="4" t="s">
        <v>267</v>
      </c>
    </row>
    <row r="597" spans="1:6" ht="30" customHeight="1">
      <c r="A597" s="6" t="s">
        <v>288</v>
      </c>
      <c r="B597" s="6" t="s">
        <v>289</v>
      </c>
      <c r="C597" s="6" t="s">
        <v>1271</v>
      </c>
      <c r="D597" s="6" t="s">
        <v>1390</v>
      </c>
      <c r="E597" s="6" t="s">
        <v>1391</v>
      </c>
      <c r="F597" s="6" t="s">
        <v>267</v>
      </c>
    </row>
    <row r="598" spans="1:6" ht="30" customHeight="1">
      <c r="A598" s="4" t="s">
        <v>288</v>
      </c>
      <c r="B598" s="4" t="s">
        <v>289</v>
      </c>
      <c r="C598" s="4" t="s">
        <v>1273</v>
      </c>
      <c r="D598" s="4" t="s">
        <v>1390</v>
      </c>
      <c r="E598" s="4" t="s">
        <v>1391</v>
      </c>
      <c r="F598" s="4" t="s">
        <v>267</v>
      </c>
    </row>
    <row r="599" spans="1:6" ht="30" customHeight="1">
      <c r="A599" s="6" t="s">
        <v>288</v>
      </c>
      <c r="B599" s="6" t="s">
        <v>289</v>
      </c>
      <c r="C599" s="6" t="s">
        <v>1275</v>
      </c>
      <c r="D599" s="6" t="s">
        <v>1390</v>
      </c>
      <c r="E599" s="6" t="s">
        <v>1391</v>
      </c>
      <c r="F599" s="6" t="s">
        <v>267</v>
      </c>
    </row>
    <row r="600" spans="1:6" ht="30" customHeight="1">
      <c r="A600" s="4" t="s">
        <v>290</v>
      </c>
      <c r="B600" s="4" t="s">
        <v>291</v>
      </c>
      <c r="C600" s="4" t="s">
        <v>1259</v>
      </c>
      <c r="D600" s="4" t="s">
        <v>1390</v>
      </c>
      <c r="E600" s="4" t="s">
        <v>1391</v>
      </c>
      <c r="F600" s="4" t="s">
        <v>267</v>
      </c>
    </row>
    <row r="601" spans="1:6" ht="30" customHeight="1">
      <c r="A601" s="6" t="s">
        <v>290</v>
      </c>
      <c r="B601" s="6" t="s">
        <v>291</v>
      </c>
      <c r="C601" s="6" t="s">
        <v>1262</v>
      </c>
      <c r="D601" s="6" t="s">
        <v>1390</v>
      </c>
      <c r="E601" s="6" t="s">
        <v>1391</v>
      </c>
      <c r="F601" s="6" t="s">
        <v>267</v>
      </c>
    </row>
    <row r="602" spans="1:6" ht="30" customHeight="1">
      <c r="A602" s="4" t="s">
        <v>290</v>
      </c>
      <c r="B602" s="4" t="s">
        <v>291</v>
      </c>
      <c r="C602" s="4" t="s">
        <v>1263</v>
      </c>
      <c r="D602" s="4" t="s">
        <v>1390</v>
      </c>
      <c r="E602" s="4" t="s">
        <v>1391</v>
      </c>
      <c r="F602" s="4" t="s">
        <v>267</v>
      </c>
    </row>
    <row r="603" spans="1:6" ht="30" customHeight="1">
      <c r="A603" s="6" t="s">
        <v>290</v>
      </c>
      <c r="B603" s="6" t="s">
        <v>291</v>
      </c>
      <c r="C603" s="6" t="s">
        <v>1265</v>
      </c>
      <c r="D603" s="6" t="s">
        <v>1390</v>
      </c>
      <c r="E603" s="6" t="s">
        <v>1391</v>
      </c>
      <c r="F603" s="6" t="s">
        <v>267</v>
      </c>
    </row>
    <row r="604" spans="1:6" ht="30" customHeight="1">
      <c r="A604" s="4" t="s">
        <v>290</v>
      </c>
      <c r="B604" s="4" t="s">
        <v>291</v>
      </c>
      <c r="C604" s="4" t="s">
        <v>1267</v>
      </c>
      <c r="D604" s="4" t="s">
        <v>1390</v>
      </c>
      <c r="E604" s="4" t="s">
        <v>1391</v>
      </c>
      <c r="F604" s="4" t="s">
        <v>267</v>
      </c>
    </row>
    <row r="605" spans="1:6" ht="30" customHeight="1">
      <c r="A605" s="6" t="s">
        <v>290</v>
      </c>
      <c r="B605" s="6" t="s">
        <v>291</v>
      </c>
      <c r="C605" s="6" t="s">
        <v>1269</v>
      </c>
      <c r="D605" s="6" t="s">
        <v>1390</v>
      </c>
      <c r="E605" s="6" t="s">
        <v>1391</v>
      </c>
      <c r="F605" s="6" t="s">
        <v>267</v>
      </c>
    </row>
    <row r="606" spans="1:6" ht="30" customHeight="1">
      <c r="A606" s="4" t="s">
        <v>290</v>
      </c>
      <c r="B606" s="4" t="s">
        <v>291</v>
      </c>
      <c r="C606" s="4" t="s">
        <v>1271</v>
      </c>
      <c r="D606" s="4" t="s">
        <v>1390</v>
      </c>
      <c r="E606" s="4" t="s">
        <v>1391</v>
      </c>
      <c r="F606" s="4" t="s">
        <v>267</v>
      </c>
    </row>
    <row r="607" spans="1:6" ht="30" customHeight="1">
      <c r="A607" s="6" t="s">
        <v>290</v>
      </c>
      <c r="B607" s="6" t="s">
        <v>291</v>
      </c>
      <c r="C607" s="6" t="s">
        <v>1273</v>
      </c>
      <c r="D607" s="6" t="s">
        <v>1390</v>
      </c>
      <c r="E607" s="6" t="s">
        <v>1391</v>
      </c>
      <c r="F607" s="6" t="s">
        <v>267</v>
      </c>
    </row>
    <row r="608" spans="1:6" ht="30" customHeight="1">
      <c r="A608" s="4" t="s">
        <v>290</v>
      </c>
      <c r="B608" s="4" t="s">
        <v>291</v>
      </c>
      <c r="C608" s="4" t="s">
        <v>1275</v>
      </c>
      <c r="D608" s="4" t="s">
        <v>1390</v>
      </c>
      <c r="E608" s="4" t="s">
        <v>1391</v>
      </c>
      <c r="F608" s="4" t="s">
        <v>267</v>
      </c>
    </row>
    <row r="609" spans="1:6" ht="30" customHeight="1">
      <c r="A609" s="6" t="s">
        <v>292</v>
      </c>
      <c r="B609" s="6" t="s">
        <v>293</v>
      </c>
      <c r="C609" s="6" t="s">
        <v>1259</v>
      </c>
      <c r="D609" s="6" t="s">
        <v>1390</v>
      </c>
      <c r="E609" s="6" t="s">
        <v>1391</v>
      </c>
      <c r="F609" s="6" t="s">
        <v>267</v>
      </c>
    </row>
    <row r="610" spans="1:6" ht="30" customHeight="1">
      <c r="A610" s="4" t="s">
        <v>292</v>
      </c>
      <c r="B610" s="4" t="s">
        <v>293</v>
      </c>
      <c r="C610" s="4" t="s">
        <v>1262</v>
      </c>
      <c r="D610" s="4" t="s">
        <v>1390</v>
      </c>
      <c r="E610" s="4" t="s">
        <v>1391</v>
      </c>
      <c r="F610" s="4" t="s">
        <v>267</v>
      </c>
    </row>
    <row r="611" spans="1:6" ht="30" customHeight="1">
      <c r="A611" s="6" t="s">
        <v>292</v>
      </c>
      <c r="B611" s="6" t="s">
        <v>293</v>
      </c>
      <c r="C611" s="6" t="s">
        <v>1263</v>
      </c>
      <c r="D611" s="6" t="s">
        <v>1390</v>
      </c>
      <c r="E611" s="6" t="s">
        <v>1391</v>
      </c>
      <c r="F611" s="6" t="s">
        <v>267</v>
      </c>
    </row>
    <row r="612" spans="1:6" ht="30" customHeight="1">
      <c r="A612" s="4" t="s">
        <v>292</v>
      </c>
      <c r="B612" s="4" t="s">
        <v>293</v>
      </c>
      <c r="C612" s="4" t="s">
        <v>1265</v>
      </c>
      <c r="D612" s="4" t="s">
        <v>1390</v>
      </c>
      <c r="E612" s="4" t="s">
        <v>1391</v>
      </c>
      <c r="F612" s="4" t="s">
        <v>267</v>
      </c>
    </row>
    <row r="613" spans="1:6" ht="30" customHeight="1">
      <c r="A613" s="6" t="s">
        <v>292</v>
      </c>
      <c r="B613" s="6" t="s">
        <v>293</v>
      </c>
      <c r="C613" s="6" t="s">
        <v>1267</v>
      </c>
      <c r="D613" s="6" t="s">
        <v>1390</v>
      </c>
      <c r="E613" s="6" t="s">
        <v>1391</v>
      </c>
      <c r="F613" s="6" t="s">
        <v>267</v>
      </c>
    </row>
    <row r="614" spans="1:6" ht="30" customHeight="1">
      <c r="A614" s="4" t="s">
        <v>292</v>
      </c>
      <c r="B614" s="4" t="s">
        <v>293</v>
      </c>
      <c r="C614" s="4" t="s">
        <v>1269</v>
      </c>
      <c r="D614" s="4" t="s">
        <v>1390</v>
      </c>
      <c r="E614" s="4" t="s">
        <v>1391</v>
      </c>
      <c r="F614" s="4" t="s">
        <v>267</v>
      </c>
    </row>
    <row r="615" spans="1:6" ht="30" customHeight="1">
      <c r="A615" s="6" t="s">
        <v>292</v>
      </c>
      <c r="B615" s="6" t="s">
        <v>293</v>
      </c>
      <c r="C615" s="6" t="s">
        <v>1271</v>
      </c>
      <c r="D615" s="6" t="s">
        <v>1390</v>
      </c>
      <c r="E615" s="6" t="s">
        <v>1391</v>
      </c>
      <c r="F615" s="6" t="s">
        <v>267</v>
      </c>
    </row>
    <row r="616" spans="1:6" ht="30" customHeight="1">
      <c r="A616" s="4" t="s">
        <v>292</v>
      </c>
      <c r="B616" s="4" t="s">
        <v>293</v>
      </c>
      <c r="C616" s="4" t="s">
        <v>1273</v>
      </c>
      <c r="D616" s="4" t="s">
        <v>1390</v>
      </c>
      <c r="E616" s="4" t="s">
        <v>1391</v>
      </c>
      <c r="F616" s="4" t="s">
        <v>267</v>
      </c>
    </row>
    <row r="617" spans="1:6" ht="30" customHeight="1">
      <c r="A617" s="6" t="s">
        <v>292</v>
      </c>
      <c r="B617" s="6" t="s">
        <v>293</v>
      </c>
      <c r="C617" s="6" t="s">
        <v>1275</v>
      </c>
      <c r="D617" s="6" t="s">
        <v>1390</v>
      </c>
      <c r="E617" s="6" t="s">
        <v>1391</v>
      </c>
      <c r="F617" s="6" t="s">
        <v>267</v>
      </c>
    </row>
    <row r="618" spans="1:6" ht="30" customHeight="1">
      <c r="A618" s="4" t="s">
        <v>294</v>
      </c>
      <c r="B618" s="4" t="s">
        <v>295</v>
      </c>
      <c r="C618" s="4" t="s">
        <v>1259</v>
      </c>
      <c r="D618" s="4" t="s">
        <v>1390</v>
      </c>
      <c r="E618" s="4" t="s">
        <v>1391</v>
      </c>
      <c r="F618" s="4" t="s">
        <v>267</v>
      </c>
    </row>
    <row r="619" spans="1:6" ht="30" customHeight="1">
      <c r="A619" s="6" t="s">
        <v>294</v>
      </c>
      <c r="B619" s="6" t="s">
        <v>295</v>
      </c>
      <c r="C619" s="6" t="s">
        <v>1262</v>
      </c>
      <c r="D619" s="6" t="s">
        <v>1390</v>
      </c>
      <c r="E619" s="6" t="s">
        <v>1391</v>
      </c>
      <c r="F619" s="6" t="s">
        <v>267</v>
      </c>
    </row>
    <row r="620" spans="1:6" ht="30" customHeight="1">
      <c r="A620" s="4" t="s">
        <v>294</v>
      </c>
      <c r="B620" s="4" t="s">
        <v>295</v>
      </c>
      <c r="C620" s="4" t="s">
        <v>1263</v>
      </c>
      <c r="D620" s="4" t="s">
        <v>1390</v>
      </c>
      <c r="E620" s="4" t="s">
        <v>1391</v>
      </c>
      <c r="F620" s="4" t="s">
        <v>267</v>
      </c>
    </row>
    <row r="621" spans="1:6" ht="30" customHeight="1">
      <c r="A621" s="6" t="s">
        <v>294</v>
      </c>
      <c r="B621" s="6" t="s">
        <v>295</v>
      </c>
      <c r="C621" s="6" t="s">
        <v>1265</v>
      </c>
      <c r="D621" s="6" t="s">
        <v>1390</v>
      </c>
      <c r="E621" s="6" t="s">
        <v>1391</v>
      </c>
      <c r="F621" s="6" t="s">
        <v>267</v>
      </c>
    </row>
    <row r="622" spans="1:6" ht="30" customHeight="1">
      <c r="A622" s="4" t="s">
        <v>294</v>
      </c>
      <c r="B622" s="4" t="s">
        <v>295</v>
      </c>
      <c r="C622" s="4" t="s">
        <v>1267</v>
      </c>
      <c r="D622" s="4" t="s">
        <v>1390</v>
      </c>
      <c r="E622" s="4" t="s">
        <v>1391</v>
      </c>
      <c r="F622" s="4" t="s">
        <v>267</v>
      </c>
    </row>
    <row r="623" spans="1:6" ht="30" customHeight="1">
      <c r="A623" s="6" t="s">
        <v>294</v>
      </c>
      <c r="B623" s="6" t="s">
        <v>295</v>
      </c>
      <c r="C623" s="6" t="s">
        <v>1269</v>
      </c>
      <c r="D623" s="6" t="s">
        <v>1390</v>
      </c>
      <c r="E623" s="6" t="s">
        <v>1391</v>
      </c>
      <c r="F623" s="6" t="s">
        <v>267</v>
      </c>
    </row>
    <row r="624" spans="1:6" ht="30" customHeight="1">
      <c r="A624" s="4" t="s">
        <v>294</v>
      </c>
      <c r="B624" s="4" t="s">
        <v>295</v>
      </c>
      <c r="C624" s="4" t="s">
        <v>1271</v>
      </c>
      <c r="D624" s="4" t="s">
        <v>1390</v>
      </c>
      <c r="E624" s="4" t="s">
        <v>1391</v>
      </c>
      <c r="F624" s="4" t="s">
        <v>267</v>
      </c>
    </row>
    <row r="625" spans="1:6" ht="30" customHeight="1">
      <c r="A625" s="6" t="s">
        <v>294</v>
      </c>
      <c r="B625" s="6" t="s">
        <v>295</v>
      </c>
      <c r="C625" s="6" t="s">
        <v>1273</v>
      </c>
      <c r="D625" s="6" t="s">
        <v>1390</v>
      </c>
      <c r="E625" s="6" t="s">
        <v>1391</v>
      </c>
      <c r="F625" s="6" t="s">
        <v>267</v>
      </c>
    </row>
    <row r="626" spans="1:6" ht="30" customHeight="1">
      <c r="A626" s="4" t="s">
        <v>294</v>
      </c>
      <c r="B626" s="4" t="s">
        <v>295</v>
      </c>
      <c r="C626" s="4" t="s">
        <v>1275</v>
      </c>
      <c r="D626" s="4" t="s">
        <v>1390</v>
      </c>
      <c r="E626" s="4" t="s">
        <v>1391</v>
      </c>
      <c r="F626" s="4" t="s">
        <v>267</v>
      </c>
    </row>
    <row r="627" spans="1:6" ht="30" customHeight="1">
      <c r="A627" s="6" t="s">
        <v>296</v>
      </c>
      <c r="B627" s="6" t="s">
        <v>297</v>
      </c>
      <c r="C627" s="6" t="s">
        <v>1259</v>
      </c>
      <c r="D627" s="6" t="s">
        <v>1390</v>
      </c>
      <c r="E627" s="6" t="s">
        <v>1391</v>
      </c>
      <c r="F627" s="6" t="s">
        <v>267</v>
      </c>
    </row>
    <row r="628" spans="1:6" ht="30" customHeight="1">
      <c r="A628" s="4" t="s">
        <v>296</v>
      </c>
      <c r="B628" s="4" t="s">
        <v>297</v>
      </c>
      <c r="C628" s="4" t="s">
        <v>1262</v>
      </c>
      <c r="D628" s="4" t="s">
        <v>1390</v>
      </c>
      <c r="E628" s="4" t="s">
        <v>1391</v>
      </c>
      <c r="F628" s="4" t="s">
        <v>267</v>
      </c>
    </row>
    <row r="629" spans="1:6" ht="30" customHeight="1">
      <c r="A629" s="6" t="s">
        <v>296</v>
      </c>
      <c r="B629" s="6" t="s">
        <v>297</v>
      </c>
      <c r="C629" s="6" t="s">
        <v>1263</v>
      </c>
      <c r="D629" s="6" t="s">
        <v>1390</v>
      </c>
      <c r="E629" s="6" t="s">
        <v>1391</v>
      </c>
      <c r="F629" s="6" t="s">
        <v>267</v>
      </c>
    </row>
    <row r="630" spans="1:6" ht="30" customHeight="1">
      <c r="A630" s="4" t="s">
        <v>296</v>
      </c>
      <c r="B630" s="4" t="s">
        <v>297</v>
      </c>
      <c r="C630" s="4" t="s">
        <v>1265</v>
      </c>
      <c r="D630" s="4" t="s">
        <v>1390</v>
      </c>
      <c r="E630" s="4" t="s">
        <v>1391</v>
      </c>
      <c r="F630" s="4" t="s">
        <v>267</v>
      </c>
    </row>
    <row r="631" spans="1:6" ht="30" customHeight="1">
      <c r="A631" s="6" t="s">
        <v>296</v>
      </c>
      <c r="B631" s="6" t="s">
        <v>297</v>
      </c>
      <c r="C631" s="6" t="s">
        <v>1267</v>
      </c>
      <c r="D631" s="6" t="s">
        <v>1390</v>
      </c>
      <c r="E631" s="6" t="s">
        <v>1391</v>
      </c>
      <c r="F631" s="6" t="s">
        <v>267</v>
      </c>
    </row>
    <row r="632" spans="1:6" ht="30" customHeight="1">
      <c r="A632" s="4" t="s">
        <v>296</v>
      </c>
      <c r="B632" s="4" t="s">
        <v>297</v>
      </c>
      <c r="C632" s="4" t="s">
        <v>1269</v>
      </c>
      <c r="D632" s="4" t="s">
        <v>1390</v>
      </c>
      <c r="E632" s="4" t="s">
        <v>1391</v>
      </c>
      <c r="F632" s="4" t="s">
        <v>267</v>
      </c>
    </row>
    <row r="633" spans="1:6" ht="30" customHeight="1">
      <c r="A633" s="6" t="s">
        <v>296</v>
      </c>
      <c r="B633" s="6" t="s">
        <v>297</v>
      </c>
      <c r="C633" s="6" t="s">
        <v>1271</v>
      </c>
      <c r="D633" s="6" t="s">
        <v>1390</v>
      </c>
      <c r="E633" s="6" t="s">
        <v>1391</v>
      </c>
      <c r="F633" s="6" t="s">
        <v>267</v>
      </c>
    </row>
    <row r="634" spans="1:6" ht="30" customHeight="1">
      <c r="A634" s="4" t="s">
        <v>296</v>
      </c>
      <c r="B634" s="4" t="s">
        <v>297</v>
      </c>
      <c r="C634" s="4" t="s">
        <v>1273</v>
      </c>
      <c r="D634" s="4" t="s">
        <v>1390</v>
      </c>
      <c r="E634" s="4" t="s">
        <v>1391</v>
      </c>
      <c r="F634" s="4" t="s">
        <v>267</v>
      </c>
    </row>
    <row r="635" spans="1:6" ht="30" customHeight="1">
      <c r="A635" s="6" t="s">
        <v>296</v>
      </c>
      <c r="B635" s="6" t="s">
        <v>297</v>
      </c>
      <c r="C635" s="6" t="s">
        <v>1275</v>
      </c>
      <c r="D635" s="6" t="s">
        <v>1390</v>
      </c>
      <c r="E635" s="6" t="s">
        <v>1391</v>
      </c>
      <c r="F635" s="6" t="s">
        <v>267</v>
      </c>
    </row>
    <row r="636" spans="1:6" ht="30" customHeight="1">
      <c r="A636" s="4" t="s">
        <v>298</v>
      </c>
      <c r="B636" s="4" t="s">
        <v>299</v>
      </c>
      <c r="C636" s="4" t="s">
        <v>1259</v>
      </c>
      <c r="D636" s="4" t="s">
        <v>1390</v>
      </c>
      <c r="E636" s="4" t="s">
        <v>1391</v>
      </c>
      <c r="F636" s="4" t="s">
        <v>267</v>
      </c>
    </row>
    <row r="637" spans="1:6" ht="30" customHeight="1">
      <c r="A637" s="6" t="s">
        <v>298</v>
      </c>
      <c r="B637" s="6" t="s">
        <v>299</v>
      </c>
      <c r="C637" s="6" t="s">
        <v>1262</v>
      </c>
      <c r="D637" s="6" t="s">
        <v>1390</v>
      </c>
      <c r="E637" s="6" t="s">
        <v>1391</v>
      </c>
      <c r="F637" s="6" t="s">
        <v>267</v>
      </c>
    </row>
    <row r="638" spans="1:6" ht="30" customHeight="1">
      <c r="A638" s="4" t="s">
        <v>298</v>
      </c>
      <c r="B638" s="4" t="s">
        <v>299</v>
      </c>
      <c r="C638" s="4" t="s">
        <v>1263</v>
      </c>
      <c r="D638" s="4" t="s">
        <v>1390</v>
      </c>
      <c r="E638" s="4" t="s">
        <v>1391</v>
      </c>
      <c r="F638" s="4" t="s">
        <v>267</v>
      </c>
    </row>
    <row r="639" spans="1:6" ht="30" customHeight="1">
      <c r="A639" s="6" t="s">
        <v>298</v>
      </c>
      <c r="B639" s="6" t="s">
        <v>299</v>
      </c>
      <c r="C639" s="6" t="s">
        <v>1265</v>
      </c>
      <c r="D639" s="6" t="s">
        <v>1390</v>
      </c>
      <c r="E639" s="6" t="s">
        <v>1391</v>
      </c>
      <c r="F639" s="6" t="s">
        <v>267</v>
      </c>
    </row>
    <row r="640" spans="1:6" ht="30" customHeight="1">
      <c r="A640" s="4" t="s">
        <v>298</v>
      </c>
      <c r="B640" s="4" t="s">
        <v>299</v>
      </c>
      <c r="C640" s="4" t="s">
        <v>1267</v>
      </c>
      <c r="D640" s="4" t="s">
        <v>1390</v>
      </c>
      <c r="E640" s="4" t="s">
        <v>1391</v>
      </c>
      <c r="F640" s="4" t="s">
        <v>267</v>
      </c>
    </row>
    <row r="641" spans="1:6" ht="30" customHeight="1">
      <c r="A641" s="6" t="s">
        <v>298</v>
      </c>
      <c r="B641" s="6" t="s">
        <v>299</v>
      </c>
      <c r="C641" s="6" t="s">
        <v>1269</v>
      </c>
      <c r="D641" s="6" t="s">
        <v>1390</v>
      </c>
      <c r="E641" s="6" t="s">
        <v>1391</v>
      </c>
      <c r="F641" s="6" t="s">
        <v>267</v>
      </c>
    </row>
    <row r="642" spans="1:6" ht="30" customHeight="1">
      <c r="A642" s="4" t="s">
        <v>298</v>
      </c>
      <c r="B642" s="4" t="s">
        <v>299</v>
      </c>
      <c r="C642" s="4" t="s">
        <v>1271</v>
      </c>
      <c r="D642" s="4" t="s">
        <v>1390</v>
      </c>
      <c r="E642" s="4" t="s">
        <v>1391</v>
      </c>
      <c r="F642" s="4" t="s">
        <v>267</v>
      </c>
    </row>
    <row r="643" spans="1:6" ht="30" customHeight="1">
      <c r="A643" s="6" t="s">
        <v>298</v>
      </c>
      <c r="B643" s="6" t="s">
        <v>299</v>
      </c>
      <c r="C643" s="6" t="s">
        <v>1273</v>
      </c>
      <c r="D643" s="6" t="s">
        <v>1390</v>
      </c>
      <c r="E643" s="6" t="s">
        <v>1391</v>
      </c>
      <c r="F643" s="6" t="s">
        <v>267</v>
      </c>
    </row>
    <row r="644" spans="1:6" ht="30" customHeight="1">
      <c r="A644" s="4" t="s">
        <v>298</v>
      </c>
      <c r="B644" s="4" t="s">
        <v>299</v>
      </c>
      <c r="C644" s="4" t="s">
        <v>1275</v>
      </c>
      <c r="D644" s="4" t="s">
        <v>1390</v>
      </c>
      <c r="E644" s="4" t="s">
        <v>1391</v>
      </c>
      <c r="F644" s="4" t="s">
        <v>267</v>
      </c>
    </row>
    <row r="645" spans="1:6" ht="30" customHeight="1">
      <c r="A645" s="6" t="s">
        <v>300</v>
      </c>
      <c r="B645" s="6" t="s">
        <v>301</v>
      </c>
      <c r="C645" s="6" t="s">
        <v>1259</v>
      </c>
      <c r="D645" s="6" t="s">
        <v>1390</v>
      </c>
      <c r="E645" s="6" t="s">
        <v>1391</v>
      </c>
      <c r="F645" s="6" t="s">
        <v>267</v>
      </c>
    </row>
    <row r="646" spans="1:6" ht="30" customHeight="1">
      <c r="A646" s="4" t="s">
        <v>300</v>
      </c>
      <c r="B646" s="4" t="s">
        <v>301</v>
      </c>
      <c r="C646" s="4" t="s">
        <v>1262</v>
      </c>
      <c r="D646" s="4" t="s">
        <v>1390</v>
      </c>
      <c r="E646" s="4" t="s">
        <v>1391</v>
      </c>
      <c r="F646" s="4" t="s">
        <v>267</v>
      </c>
    </row>
    <row r="647" spans="1:6" ht="30" customHeight="1">
      <c r="A647" s="6" t="s">
        <v>300</v>
      </c>
      <c r="B647" s="6" t="s">
        <v>301</v>
      </c>
      <c r="C647" s="6" t="s">
        <v>1263</v>
      </c>
      <c r="D647" s="6" t="s">
        <v>1390</v>
      </c>
      <c r="E647" s="6" t="s">
        <v>1391</v>
      </c>
      <c r="F647" s="6" t="s">
        <v>267</v>
      </c>
    </row>
    <row r="648" spans="1:6" ht="30" customHeight="1">
      <c r="A648" s="4" t="s">
        <v>300</v>
      </c>
      <c r="B648" s="4" t="s">
        <v>301</v>
      </c>
      <c r="C648" s="4" t="s">
        <v>1265</v>
      </c>
      <c r="D648" s="4" t="s">
        <v>1390</v>
      </c>
      <c r="E648" s="4" t="s">
        <v>1391</v>
      </c>
      <c r="F648" s="4" t="s">
        <v>267</v>
      </c>
    </row>
    <row r="649" spans="1:6" ht="30" customHeight="1">
      <c r="A649" s="6" t="s">
        <v>300</v>
      </c>
      <c r="B649" s="6" t="s">
        <v>301</v>
      </c>
      <c r="C649" s="6" t="s">
        <v>1267</v>
      </c>
      <c r="D649" s="6" t="s">
        <v>1390</v>
      </c>
      <c r="E649" s="6" t="s">
        <v>1391</v>
      </c>
      <c r="F649" s="6" t="s">
        <v>267</v>
      </c>
    </row>
    <row r="650" spans="1:6" ht="30" customHeight="1">
      <c r="A650" s="4" t="s">
        <v>300</v>
      </c>
      <c r="B650" s="4" t="s">
        <v>301</v>
      </c>
      <c r="C650" s="4" t="s">
        <v>1269</v>
      </c>
      <c r="D650" s="4" t="s">
        <v>1390</v>
      </c>
      <c r="E650" s="4" t="s">
        <v>1391</v>
      </c>
      <c r="F650" s="4" t="s">
        <v>267</v>
      </c>
    </row>
    <row r="651" spans="1:6" ht="30" customHeight="1">
      <c r="A651" s="6" t="s">
        <v>300</v>
      </c>
      <c r="B651" s="6" t="s">
        <v>301</v>
      </c>
      <c r="C651" s="6" t="s">
        <v>1271</v>
      </c>
      <c r="D651" s="6" t="s">
        <v>1390</v>
      </c>
      <c r="E651" s="6" t="s">
        <v>1391</v>
      </c>
      <c r="F651" s="6" t="s">
        <v>267</v>
      </c>
    </row>
    <row r="652" spans="1:6" ht="30" customHeight="1">
      <c r="A652" s="4" t="s">
        <v>300</v>
      </c>
      <c r="B652" s="4" t="s">
        <v>301</v>
      </c>
      <c r="C652" s="4" t="s">
        <v>1273</v>
      </c>
      <c r="D652" s="4" t="s">
        <v>1390</v>
      </c>
      <c r="E652" s="4" t="s">
        <v>1391</v>
      </c>
      <c r="F652" s="4" t="s">
        <v>267</v>
      </c>
    </row>
    <row r="653" spans="1:6" ht="30" customHeight="1">
      <c r="A653" s="6" t="s">
        <v>300</v>
      </c>
      <c r="B653" s="6" t="s">
        <v>301</v>
      </c>
      <c r="C653" s="6" t="s">
        <v>1275</v>
      </c>
      <c r="D653" s="6" t="s">
        <v>1390</v>
      </c>
      <c r="E653" s="6" t="s">
        <v>1391</v>
      </c>
      <c r="F653" s="6" t="s">
        <v>267</v>
      </c>
    </row>
    <row r="654" spans="1:6" ht="30" customHeight="1">
      <c r="A654" s="4" t="s">
        <v>302</v>
      </c>
      <c r="B654" s="4" t="s">
        <v>303</v>
      </c>
      <c r="C654" s="4" t="s">
        <v>1259</v>
      </c>
      <c r="D654" s="4" t="s">
        <v>1390</v>
      </c>
      <c r="E654" s="4" t="s">
        <v>1391</v>
      </c>
      <c r="F654" s="4" t="s">
        <v>267</v>
      </c>
    </row>
    <row r="655" spans="1:6" ht="30" customHeight="1">
      <c r="A655" s="6" t="s">
        <v>302</v>
      </c>
      <c r="B655" s="6" t="s">
        <v>303</v>
      </c>
      <c r="C655" s="6" t="s">
        <v>1262</v>
      </c>
      <c r="D655" s="6" t="s">
        <v>1390</v>
      </c>
      <c r="E655" s="6" t="s">
        <v>1391</v>
      </c>
      <c r="F655" s="6" t="s">
        <v>267</v>
      </c>
    </row>
    <row r="656" spans="1:6" ht="30" customHeight="1">
      <c r="A656" s="4" t="s">
        <v>302</v>
      </c>
      <c r="B656" s="4" t="s">
        <v>303</v>
      </c>
      <c r="C656" s="4" t="s">
        <v>1263</v>
      </c>
      <c r="D656" s="4" t="s">
        <v>1390</v>
      </c>
      <c r="E656" s="4" t="s">
        <v>1391</v>
      </c>
      <c r="F656" s="4" t="s">
        <v>267</v>
      </c>
    </row>
    <row r="657" spans="1:6" ht="30" customHeight="1">
      <c r="A657" s="6" t="s">
        <v>302</v>
      </c>
      <c r="B657" s="6" t="s">
        <v>303</v>
      </c>
      <c r="C657" s="6" t="s">
        <v>1265</v>
      </c>
      <c r="D657" s="6" t="s">
        <v>1390</v>
      </c>
      <c r="E657" s="6" t="s">
        <v>1391</v>
      </c>
      <c r="F657" s="6" t="s">
        <v>267</v>
      </c>
    </row>
    <row r="658" spans="1:6" ht="30" customHeight="1">
      <c r="A658" s="4" t="s">
        <v>302</v>
      </c>
      <c r="B658" s="4" t="s">
        <v>303</v>
      </c>
      <c r="C658" s="4" t="s">
        <v>1267</v>
      </c>
      <c r="D658" s="4" t="s">
        <v>1390</v>
      </c>
      <c r="E658" s="4" t="s">
        <v>1391</v>
      </c>
      <c r="F658" s="4" t="s">
        <v>267</v>
      </c>
    </row>
    <row r="659" spans="1:6" ht="30" customHeight="1">
      <c r="A659" s="6" t="s">
        <v>302</v>
      </c>
      <c r="B659" s="6" t="s">
        <v>303</v>
      </c>
      <c r="C659" s="6" t="s">
        <v>1269</v>
      </c>
      <c r="D659" s="6" t="s">
        <v>1390</v>
      </c>
      <c r="E659" s="6" t="s">
        <v>1391</v>
      </c>
      <c r="F659" s="6" t="s">
        <v>267</v>
      </c>
    </row>
    <row r="660" spans="1:6" ht="30" customHeight="1">
      <c r="A660" s="4" t="s">
        <v>302</v>
      </c>
      <c r="B660" s="4" t="s">
        <v>303</v>
      </c>
      <c r="C660" s="4" t="s">
        <v>1271</v>
      </c>
      <c r="D660" s="4" t="s">
        <v>1390</v>
      </c>
      <c r="E660" s="4" t="s">
        <v>1391</v>
      </c>
      <c r="F660" s="4" t="s">
        <v>267</v>
      </c>
    </row>
    <row r="661" spans="1:6" ht="30" customHeight="1">
      <c r="A661" s="6" t="s">
        <v>302</v>
      </c>
      <c r="B661" s="6" t="s">
        <v>303</v>
      </c>
      <c r="C661" s="6" t="s">
        <v>1273</v>
      </c>
      <c r="D661" s="6" t="s">
        <v>1390</v>
      </c>
      <c r="E661" s="6" t="s">
        <v>1391</v>
      </c>
      <c r="F661" s="6" t="s">
        <v>267</v>
      </c>
    </row>
    <row r="662" spans="1:6" ht="30" customHeight="1">
      <c r="A662" s="4" t="s">
        <v>302</v>
      </c>
      <c r="B662" s="4" t="s">
        <v>303</v>
      </c>
      <c r="C662" s="4" t="s">
        <v>1275</v>
      </c>
      <c r="D662" s="4" t="s">
        <v>1390</v>
      </c>
      <c r="E662" s="4" t="s">
        <v>1391</v>
      </c>
      <c r="F662" s="4" t="s">
        <v>267</v>
      </c>
    </row>
    <row r="663" spans="1:6" ht="30" customHeight="1">
      <c r="A663" s="6" t="s">
        <v>304</v>
      </c>
      <c r="B663" s="6" t="s">
        <v>305</v>
      </c>
      <c r="C663" s="6" t="s">
        <v>1259</v>
      </c>
      <c r="D663" s="6" t="s">
        <v>1390</v>
      </c>
      <c r="E663" s="6" t="s">
        <v>1391</v>
      </c>
      <c r="F663" s="6" t="s">
        <v>267</v>
      </c>
    </row>
    <row r="664" spans="1:6" ht="30" customHeight="1">
      <c r="A664" s="4" t="s">
        <v>304</v>
      </c>
      <c r="B664" s="4" t="s">
        <v>305</v>
      </c>
      <c r="C664" s="4" t="s">
        <v>1262</v>
      </c>
      <c r="D664" s="4" t="s">
        <v>1390</v>
      </c>
      <c r="E664" s="4" t="s">
        <v>1391</v>
      </c>
      <c r="F664" s="4" t="s">
        <v>267</v>
      </c>
    </row>
    <row r="665" spans="1:6" ht="30" customHeight="1">
      <c r="A665" s="6" t="s">
        <v>304</v>
      </c>
      <c r="B665" s="6" t="s">
        <v>305</v>
      </c>
      <c r="C665" s="6" t="s">
        <v>1263</v>
      </c>
      <c r="D665" s="6" t="s">
        <v>1390</v>
      </c>
      <c r="E665" s="6" t="s">
        <v>1391</v>
      </c>
      <c r="F665" s="6" t="s">
        <v>267</v>
      </c>
    </row>
    <row r="666" spans="1:6" ht="30" customHeight="1">
      <c r="A666" s="4" t="s">
        <v>304</v>
      </c>
      <c r="B666" s="4" t="s">
        <v>305</v>
      </c>
      <c r="C666" s="4" t="s">
        <v>1265</v>
      </c>
      <c r="D666" s="4" t="s">
        <v>1390</v>
      </c>
      <c r="E666" s="4" t="s">
        <v>1391</v>
      </c>
      <c r="F666" s="4" t="s">
        <v>267</v>
      </c>
    </row>
    <row r="667" spans="1:6" ht="30" customHeight="1">
      <c r="A667" s="6" t="s">
        <v>304</v>
      </c>
      <c r="B667" s="6" t="s">
        <v>305</v>
      </c>
      <c r="C667" s="6" t="s">
        <v>1267</v>
      </c>
      <c r="D667" s="6" t="s">
        <v>1390</v>
      </c>
      <c r="E667" s="6" t="s">
        <v>1391</v>
      </c>
      <c r="F667" s="6" t="s">
        <v>267</v>
      </c>
    </row>
    <row r="668" spans="1:6" ht="30" customHeight="1">
      <c r="A668" s="4" t="s">
        <v>304</v>
      </c>
      <c r="B668" s="4" t="s">
        <v>305</v>
      </c>
      <c r="C668" s="4" t="s">
        <v>1269</v>
      </c>
      <c r="D668" s="4" t="s">
        <v>1390</v>
      </c>
      <c r="E668" s="4" t="s">
        <v>1391</v>
      </c>
      <c r="F668" s="4" t="s">
        <v>267</v>
      </c>
    </row>
    <row r="669" spans="1:6" ht="30" customHeight="1">
      <c r="A669" s="6" t="s">
        <v>304</v>
      </c>
      <c r="B669" s="6" t="s">
        <v>305</v>
      </c>
      <c r="C669" s="6" t="s">
        <v>1271</v>
      </c>
      <c r="D669" s="6" t="s">
        <v>1390</v>
      </c>
      <c r="E669" s="6" t="s">
        <v>1391</v>
      </c>
      <c r="F669" s="6" t="s">
        <v>267</v>
      </c>
    </row>
    <row r="670" spans="1:6" ht="30" customHeight="1">
      <c r="A670" s="4" t="s">
        <v>304</v>
      </c>
      <c r="B670" s="4" t="s">
        <v>305</v>
      </c>
      <c r="C670" s="4" t="s">
        <v>1273</v>
      </c>
      <c r="D670" s="4" t="s">
        <v>1390</v>
      </c>
      <c r="E670" s="4" t="s">
        <v>1391</v>
      </c>
      <c r="F670" s="4" t="s">
        <v>267</v>
      </c>
    </row>
    <row r="671" spans="1:6" ht="30" customHeight="1">
      <c r="A671" s="6" t="s">
        <v>304</v>
      </c>
      <c r="B671" s="6" t="s">
        <v>305</v>
      </c>
      <c r="C671" s="6" t="s">
        <v>1275</v>
      </c>
      <c r="D671" s="6" t="s">
        <v>1390</v>
      </c>
      <c r="E671" s="6" t="s">
        <v>1391</v>
      </c>
      <c r="F671" s="6" t="s">
        <v>267</v>
      </c>
    </row>
    <row r="672" spans="1:6" ht="30" customHeight="1">
      <c r="A672" s="4" t="s">
        <v>306</v>
      </c>
      <c r="B672" s="4" t="s">
        <v>307</v>
      </c>
      <c r="C672" s="4" t="s">
        <v>1259</v>
      </c>
      <c r="D672" s="4" t="s">
        <v>1390</v>
      </c>
      <c r="E672" s="4" t="s">
        <v>1391</v>
      </c>
      <c r="F672" s="4" t="s">
        <v>267</v>
      </c>
    </row>
    <row r="673" spans="1:6" ht="30" customHeight="1">
      <c r="A673" s="6" t="s">
        <v>306</v>
      </c>
      <c r="B673" s="6" t="s">
        <v>307</v>
      </c>
      <c r="C673" s="6" t="s">
        <v>1262</v>
      </c>
      <c r="D673" s="6" t="s">
        <v>1390</v>
      </c>
      <c r="E673" s="6" t="s">
        <v>1391</v>
      </c>
      <c r="F673" s="6" t="s">
        <v>267</v>
      </c>
    </row>
    <row r="674" spans="1:6" ht="30" customHeight="1">
      <c r="A674" s="4" t="s">
        <v>306</v>
      </c>
      <c r="B674" s="4" t="s">
        <v>307</v>
      </c>
      <c r="C674" s="4" t="s">
        <v>1263</v>
      </c>
      <c r="D674" s="4" t="s">
        <v>1390</v>
      </c>
      <c r="E674" s="4" t="s">
        <v>1391</v>
      </c>
      <c r="F674" s="4" t="s">
        <v>267</v>
      </c>
    </row>
    <row r="675" spans="1:6" ht="30" customHeight="1">
      <c r="A675" s="6" t="s">
        <v>306</v>
      </c>
      <c r="B675" s="6" t="s">
        <v>307</v>
      </c>
      <c r="C675" s="6" t="s">
        <v>1265</v>
      </c>
      <c r="D675" s="6" t="s">
        <v>1390</v>
      </c>
      <c r="E675" s="6" t="s">
        <v>1391</v>
      </c>
      <c r="F675" s="6" t="s">
        <v>267</v>
      </c>
    </row>
    <row r="676" spans="1:6" ht="30" customHeight="1">
      <c r="A676" s="4" t="s">
        <v>306</v>
      </c>
      <c r="B676" s="4" t="s">
        <v>307</v>
      </c>
      <c r="C676" s="4" t="s">
        <v>1267</v>
      </c>
      <c r="D676" s="4" t="s">
        <v>1390</v>
      </c>
      <c r="E676" s="4" t="s">
        <v>1391</v>
      </c>
      <c r="F676" s="4" t="s">
        <v>267</v>
      </c>
    </row>
    <row r="677" spans="1:6" ht="30" customHeight="1">
      <c r="A677" s="6" t="s">
        <v>306</v>
      </c>
      <c r="B677" s="6" t="s">
        <v>307</v>
      </c>
      <c r="C677" s="6" t="s">
        <v>1269</v>
      </c>
      <c r="D677" s="6" t="s">
        <v>1390</v>
      </c>
      <c r="E677" s="6" t="s">
        <v>1391</v>
      </c>
      <c r="F677" s="6" t="s">
        <v>267</v>
      </c>
    </row>
    <row r="678" spans="1:6" ht="30" customHeight="1">
      <c r="A678" s="4" t="s">
        <v>306</v>
      </c>
      <c r="B678" s="4" t="s">
        <v>307</v>
      </c>
      <c r="C678" s="4" t="s">
        <v>1271</v>
      </c>
      <c r="D678" s="4" t="s">
        <v>1390</v>
      </c>
      <c r="E678" s="4" t="s">
        <v>1391</v>
      </c>
      <c r="F678" s="4" t="s">
        <v>267</v>
      </c>
    </row>
    <row r="679" spans="1:6" ht="30" customHeight="1">
      <c r="A679" s="6" t="s">
        <v>306</v>
      </c>
      <c r="B679" s="6" t="s">
        <v>307</v>
      </c>
      <c r="C679" s="6" t="s">
        <v>1273</v>
      </c>
      <c r="D679" s="6" t="s">
        <v>1390</v>
      </c>
      <c r="E679" s="6" t="s">
        <v>1391</v>
      </c>
      <c r="F679" s="6" t="s">
        <v>267</v>
      </c>
    </row>
    <row r="680" spans="1:6" ht="30" customHeight="1">
      <c r="A680" s="4" t="s">
        <v>306</v>
      </c>
      <c r="B680" s="4" t="s">
        <v>307</v>
      </c>
      <c r="C680" s="4" t="s">
        <v>1275</v>
      </c>
      <c r="D680" s="4" t="s">
        <v>1390</v>
      </c>
      <c r="E680" s="4" t="s">
        <v>1391</v>
      </c>
      <c r="F680" s="4" t="s">
        <v>267</v>
      </c>
    </row>
    <row r="681" spans="1:6" ht="30" customHeight="1">
      <c r="A681" s="6" t="s">
        <v>308</v>
      </c>
      <c r="B681" s="6" t="s">
        <v>309</v>
      </c>
      <c r="C681" s="6" t="s">
        <v>1259</v>
      </c>
      <c r="D681" s="6" t="s">
        <v>1390</v>
      </c>
      <c r="E681" s="6" t="s">
        <v>1391</v>
      </c>
      <c r="F681" s="6" t="s">
        <v>267</v>
      </c>
    </row>
    <row r="682" spans="1:6" ht="30" customHeight="1">
      <c r="A682" s="4" t="s">
        <v>308</v>
      </c>
      <c r="B682" s="4" t="s">
        <v>309</v>
      </c>
      <c r="C682" s="4" t="s">
        <v>1262</v>
      </c>
      <c r="D682" s="4" t="s">
        <v>1390</v>
      </c>
      <c r="E682" s="4" t="s">
        <v>1391</v>
      </c>
      <c r="F682" s="4" t="s">
        <v>267</v>
      </c>
    </row>
    <row r="683" spans="1:6" ht="30" customHeight="1">
      <c r="A683" s="6" t="s">
        <v>308</v>
      </c>
      <c r="B683" s="6" t="s">
        <v>309</v>
      </c>
      <c r="C683" s="6" t="s">
        <v>1263</v>
      </c>
      <c r="D683" s="6" t="s">
        <v>1390</v>
      </c>
      <c r="E683" s="6" t="s">
        <v>1391</v>
      </c>
      <c r="F683" s="6" t="s">
        <v>267</v>
      </c>
    </row>
    <row r="684" spans="1:6" ht="30" customHeight="1">
      <c r="A684" s="4" t="s">
        <v>308</v>
      </c>
      <c r="B684" s="4" t="s">
        <v>309</v>
      </c>
      <c r="C684" s="4" t="s">
        <v>1265</v>
      </c>
      <c r="D684" s="4" t="s">
        <v>1390</v>
      </c>
      <c r="E684" s="4" t="s">
        <v>1391</v>
      </c>
      <c r="F684" s="4" t="s">
        <v>267</v>
      </c>
    </row>
    <row r="685" spans="1:6" ht="30" customHeight="1">
      <c r="A685" s="6" t="s">
        <v>308</v>
      </c>
      <c r="B685" s="6" t="s">
        <v>309</v>
      </c>
      <c r="C685" s="6" t="s">
        <v>1267</v>
      </c>
      <c r="D685" s="6" t="s">
        <v>1390</v>
      </c>
      <c r="E685" s="6" t="s">
        <v>1391</v>
      </c>
      <c r="F685" s="6" t="s">
        <v>267</v>
      </c>
    </row>
    <row r="686" spans="1:6" ht="30" customHeight="1">
      <c r="A686" s="4" t="s">
        <v>308</v>
      </c>
      <c r="B686" s="4" t="s">
        <v>309</v>
      </c>
      <c r="C686" s="4" t="s">
        <v>1269</v>
      </c>
      <c r="D686" s="4" t="s">
        <v>1390</v>
      </c>
      <c r="E686" s="4" t="s">
        <v>1391</v>
      </c>
      <c r="F686" s="4" t="s">
        <v>267</v>
      </c>
    </row>
    <row r="687" spans="1:6" ht="30" customHeight="1">
      <c r="A687" s="6" t="s">
        <v>308</v>
      </c>
      <c r="B687" s="6" t="s">
        <v>309</v>
      </c>
      <c r="C687" s="6" t="s">
        <v>1271</v>
      </c>
      <c r="D687" s="6" t="s">
        <v>1390</v>
      </c>
      <c r="E687" s="6" t="s">
        <v>1391</v>
      </c>
      <c r="F687" s="6" t="s">
        <v>267</v>
      </c>
    </row>
    <row r="688" spans="1:6" ht="30" customHeight="1">
      <c r="A688" s="4" t="s">
        <v>308</v>
      </c>
      <c r="B688" s="4" t="s">
        <v>309</v>
      </c>
      <c r="C688" s="4" t="s">
        <v>1273</v>
      </c>
      <c r="D688" s="4" t="s">
        <v>1390</v>
      </c>
      <c r="E688" s="4" t="s">
        <v>1391</v>
      </c>
      <c r="F688" s="4" t="s">
        <v>267</v>
      </c>
    </row>
    <row r="689" spans="1:6" ht="30" customHeight="1">
      <c r="A689" s="6" t="s">
        <v>308</v>
      </c>
      <c r="B689" s="6" t="s">
        <v>309</v>
      </c>
      <c r="C689" s="6" t="s">
        <v>1275</v>
      </c>
      <c r="D689" s="6" t="s">
        <v>1390</v>
      </c>
      <c r="E689" s="6" t="s">
        <v>1391</v>
      </c>
      <c r="F689" s="6" t="s">
        <v>267</v>
      </c>
    </row>
    <row r="690" spans="1:6" ht="30" customHeight="1">
      <c r="A690" s="4" t="s">
        <v>310</v>
      </c>
      <c r="B690" s="4" t="s">
        <v>311</v>
      </c>
      <c r="C690" s="4" t="s">
        <v>1259</v>
      </c>
      <c r="D690" s="4" t="s">
        <v>1390</v>
      </c>
      <c r="E690" s="4" t="s">
        <v>1391</v>
      </c>
      <c r="F690" s="4" t="s">
        <v>267</v>
      </c>
    </row>
    <row r="691" spans="1:6" ht="30" customHeight="1">
      <c r="A691" s="6" t="s">
        <v>310</v>
      </c>
      <c r="B691" s="6" t="s">
        <v>311</v>
      </c>
      <c r="C691" s="6" t="s">
        <v>1262</v>
      </c>
      <c r="D691" s="6" t="s">
        <v>1390</v>
      </c>
      <c r="E691" s="6" t="s">
        <v>1391</v>
      </c>
      <c r="F691" s="6" t="s">
        <v>267</v>
      </c>
    </row>
    <row r="692" spans="1:6" ht="30" customHeight="1">
      <c r="A692" s="4" t="s">
        <v>310</v>
      </c>
      <c r="B692" s="4" t="s">
        <v>311</v>
      </c>
      <c r="C692" s="4" t="s">
        <v>1263</v>
      </c>
      <c r="D692" s="4" t="s">
        <v>1390</v>
      </c>
      <c r="E692" s="4" t="s">
        <v>1391</v>
      </c>
      <c r="F692" s="4" t="s">
        <v>267</v>
      </c>
    </row>
    <row r="693" spans="1:6" ht="30" customHeight="1">
      <c r="A693" s="6" t="s">
        <v>310</v>
      </c>
      <c r="B693" s="6" t="s">
        <v>311</v>
      </c>
      <c r="C693" s="6" t="s">
        <v>1265</v>
      </c>
      <c r="D693" s="6" t="s">
        <v>1390</v>
      </c>
      <c r="E693" s="6" t="s">
        <v>1391</v>
      </c>
      <c r="F693" s="6" t="s">
        <v>267</v>
      </c>
    </row>
    <row r="694" spans="1:6" ht="30" customHeight="1">
      <c r="A694" s="4" t="s">
        <v>310</v>
      </c>
      <c r="B694" s="4" t="s">
        <v>311</v>
      </c>
      <c r="C694" s="4" t="s">
        <v>1267</v>
      </c>
      <c r="D694" s="4" t="s">
        <v>1390</v>
      </c>
      <c r="E694" s="4" t="s">
        <v>1391</v>
      </c>
      <c r="F694" s="4" t="s">
        <v>267</v>
      </c>
    </row>
    <row r="695" spans="1:6" ht="30" customHeight="1">
      <c r="A695" s="6" t="s">
        <v>310</v>
      </c>
      <c r="B695" s="6" t="s">
        <v>311</v>
      </c>
      <c r="C695" s="6" t="s">
        <v>1269</v>
      </c>
      <c r="D695" s="6" t="s">
        <v>1390</v>
      </c>
      <c r="E695" s="6" t="s">
        <v>1391</v>
      </c>
      <c r="F695" s="6" t="s">
        <v>267</v>
      </c>
    </row>
    <row r="696" spans="1:6" ht="30" customHeight="1">
      <c r="A696" s="4" t="s">
        <v>310</v>
      </c>
      <c r="B696" s="4" t="s">
        <v>311</v>
      </c>
      <c r="C696" s="4" t="s">
        <v>1271</v>
      </c>
      <c r="D696" s="4" t="s">
        <v>1390</v>
      </c>
      <c r="E696" s="4" t="s">
        <v>1391</v>
      </c>
      <c r="F696" s="4" t="s">
        <v>267</v>
      </c>
    </row>
    <row r="697" spans="1:6" ht="30" customHeight="1">
      <c r="A697" s="6" t="s">
        <v>310</v>
      </c>
      <c r="B697" s="6" t="s">
        <v>311</v>
      </c>
      <c r="C697" s="6" t="s">
        <v>1273</v>
      </c>
      <c r="D697" s="6" t="s">
        <v>1390</v>
      </c>
      <c r="E697" s="6" t="s">
        <v>1391</v>
      </c>
      <c r="F697" s="6" t="s">
        <v>267</v>
      </c>
    </row>
    <row r="698" spans="1:6" ht="30" customHeight="1">
      <c r="A698" s="4" t="s">
        <v>310</v>
      </c>
      <c r="B698" s="4" t="s">
        <v>311</v>
      </c>
      <c r="C698" s="4" t="s">
        <v>1275</v>
      </c>
      <c r="D698" s="4" t="s">
        <v>1390</v>
      </c>
      <c r="E698" s="4" t="s">
        <v>1391</v>
      </c>
      <c r="F698" s="4" t="s">
        <v>267</v>
      </c>
    </row>
    <row r="699" spans="1:6" ht="30" customHeight="1">
      <c r="A699" s="6" t="s">
        <v>312</v>
      </c>
      <c r="B699" s="6" t="s">
        <v>313</v>
      </c>
      <c r="C699" s="6" t="s">
        <v>1259</v>
      </c>
      <c r="D699" s="6" t="s">
        <v>1390</v>
      </c>
      <c r="E699" s="6" t="s">
        <v>1391</v>
      </c>
      <c r="F699" s="6" t="s">
        <v>267</v>
      </c>
    </row>
    <row r="700" spans="1:6" ht="30" customHeight="1">
      <c r="A700" s="4" t="s">
        <v>312</v>
      </c>
      <c r="B700" s="4" t="s">
        <v>313</v>
      </c>
      <c r="C700" s="4" t="s">
        <v>1262</v>
      </c>
      <c r="D700" s="4" t="s">
        <v>1390</v>
      </c>
      <c r="E700" s="4" t="s">
        <v>1391</v>
      </c>
      <c r="F700" s="4" t="s">
        <v>267</v>
      </c>
    </row>
    <row r="701" spans="1:6" ht="30" customHeight="1">
      <c r="A701" s="6" t="s">
        <v>312</v>
      </c>
      <c r="B701" s="6" t="s">
        <v>313</v>
      </c>
      <c r="C701" s="6" t="s">
        <v>1263</v>
      </c>
      <c r="D701" s="6" t="s">
        <v>1390</v>
      </c>
      <c r="E701" s="6" t="s">
        <v>1391</v>
      </c>
      <c r="F701" s="6" t="s">
        <v>267</v>
      </c>
    </row>
    <row r="702" spans="1:6" ht="30" customHeight="1">
      <c r="A702" s="4" t="s">
        <v>312</v>
      </c>
      <c r="B702" s="4" t="s">
        <v>313</v>
      </c>
      <c r="C702" s="4" t="s">
        <v>1265</v>
      </c>
      <c r="D702" s="4" t="s">
        <v>1390</v>
      </c>
      <c r="E702" s="4" t="s">
        <v>1391</v>
      </c>
      <c r="F702" s="4" t="s">
        <v>267</v>
      </c>
    </row>
    <row r="703" spans="1:6" ht="30" customHeight="1">
      <c r="A703" s="6" t="s">
        <v>312</v>
      </c>
      <c r="B703" s="6" t="s">
        <v>313</v>
      </c>
      <c r="C703" s="6" t="s">
        <v>1267</v>
      </c>
      <c r="D703" s="6" t="s">
        <v>1390</v>
      </c>
      <c r="E703" s="6" t="s">
        <v>1391</v>
      </c>
      <c r="F703" s="6" t="s">
        <v>267</v>
      </c>
    </row>
    <row r="704" spans="1:6" ht="30" customHeight="1">
      <c r="A704" s="4" t="s">
        <v>312</v>
      </c>
      <c r="B704" s="4" t="s">
        <v>313</v>
      </c>
      <c r="C704" s="4" t="s">
        <v>1269</v>
      </c>
      <c r="D704" s="4" t="s">
        <v>1390</v>
      </c>
      <c r="E704" s="4" t="s">
        <v>1391</v>
      </c>
      <c r="F704" s="4" t="s">
        <v>267</v>
      </c>
    </row>
    <row r="705" spans="1:6" ht="30" customHeight="1">
      <c r="A705" s="6" t="s">
        <v>312</v>
      </c>
      <c r="B705" s="6" t="s">
        <v>313</v>
      </c>
      <c r="C705" s="6" t="s">
        <v>1271</v>
      </c>
      <c r="D705" s="6" t="s">
        <v>1390</v>
      </c>
      <c r="E705" s="6" t="s">
        <v>1391</v>
      </c>
      <c r="F705" s="6" t="s">
        <v>267</v>
      </c>
    </row>
    <row r="706" spans="1:6" ht="30" customHeight="1">
      <c r="A706" s="4" t="s">
        <v>312</v>
      </c>
      <c r="B706" s="4" t="s">
        <v>313</v>
      </c>
      <c r="C706" s="4" t="s">
        <v>1273</v>
      </c>
      <c r="D706" s="4" t="s">
        <v>1390</v>
      </c>
      <c r="E706" s="4" t="s">
        <v>1391</v>
      </c>
      <c r="F706" s="4" t="s">
        <v>267</v>
      </c>
    </row>
    <row r="707" spans="1:6" ht="30" customHeight="1">
      <c r="A707" s="6" t="s">
        <v>312</v>
      </c>
      <c r="B707" s="6" t="s">
        <v>313</v>
      </c>
      <c r="C707" s="6" t="s">
        <v>1275</v>
      </c>
      <c r="D707" s="6" t="s">
        <v>1390</v>
      </c>
      <c r="E707" s="6" t="s">
        <v>1391</v>
      </c>
      <c r="F707" s="6" t="s">
        <v>267</v>
      </c>
    </row>
    <row r="708" spans="1:6" ht="30" customHeight="1">
      <c r="A708" s="4" t="s">
        <v>314</v>
      </c>
      <c r="B708" s="4" t="s">
        <v>315</v>
      </c>
      <c r="C708" s="4" t="s">
        <v>1259</v>
      </c>
      <c r="D708" s="4" t="s">
        <v>1390</v>
      </c>
      <c r="E708" s="4" t="s">
        <v>1391</v>
      </c>
      <c r="F708" s="4" t="s">
        <v>267</v>
      </c>
    </row>
    <row r="709" spans="1:6" ht="30" customHeight="1">
      <c r="A709" s="6" t="s">
        <v>314</v>
      </c>
      <c r="B709" s="6" t="s">
        <v>315</v>
      </c>
      <c r="C709" s="6" t="s">
        <v>1262</v>
      </c>
      <c r="D709" s="6" t="s">
        <v>1390</v>
      </c>
      <c r="E709" s="6" t="s">
        <v>1391</v>
      </c>
      <c r="F709" s="6" t="s">
        <v>267</v>
      </c>
    </row>
    <row r="710" spans="1:6" ht="30" customHeight="1">
      <c r="A710" s="4" t="s">
        <v>314</v>
      </c>
      <c r="B710" s="4" t="s">
        <v>315</v>
      </c>
      <c r="C710" s="4" t="s">
        <v>1263</v>
      </c>
      <c r="D710" s="4" t="s">
        <v>1390</v>
      </c>
      <c r="E710" s="4" t="s">
        <v>1391</v>
      </c>
      <c r="F710" s="4" t="s">
        <v>267</v>
      </c>
    </row>
    <row r="711" spans="1:6" ht="30" customHeight="1">
      <c r="A711" s="6" t="s">
        <v>314</v>
      </c>
      <c r="B711" s="6" t="s">
        <v>315</v>
      </c>
      <c r="C711" s="6" t="s">
        <v>1265</v>
      </c>
      <c r="D711" s="6" t="s">
        <v>1390</v>
      </c>
      <c r="E711" s="6" t="s">
        <v>1391</v>
      </c>
      <c r="F711" s="6" t="s">
        <v>267</v>
      </c>
    </row>
    <row r="712" spans="1:6" ht="30" customHeight="1">
      <c r="A712" s="4" t="s">
        <v>314</v>
      </c>
      <c r="B712" s="4" t="s">
        <v>315</v>
      </c>
      <c r="C712" s="4" t="s">
        <v>1267</v>
      </c>
      <c r="D712" s="4" t="s">
        <v>1390</v>
      </c>
      <c r="E712" s="4" t="s">
        <v>1391</v>
      </c>
      <c r="F712" s="4" t="s">
        <v>267</v>
      </c>
    </row>
    <row r="713" spans="1:6" ht="30" customHeight="1">
      <c r="A713" s="6" t="s">
        <v>314</v>
      </c>
      <c r="B713" s="6" t="s">
        <v>315</v>
      </c>
      <c r="C713" s="6" t="s">
        <v>1269</v>
      </c>
      <c r="D713" s="6" t="s">
        <v>1390</v>
      </c>
      <c r="E713" s="6" t="s">
        <v>1391</v>
      </c>
      <c r="F713" s="6" t="s">
        <v>267</v>
      </c>
    </row>
    <row r="714" spans="1:6" ht="30" customHeight="1">
      <c r="A714" s="4" t="s">
        <v>314</v>
      </c>
      <c r="B714" s="4" t="s">
        <v>315</v>
      </c>
      <c r="C714" s="4" t="s">
        <v>1271</v>
      </c>
      <c r="D714" s="4" t="s">
        <v>1390</v>
      </c>
      <c r="E714" s="4" t="s">
        <v>1391</v>
      </c>
      <c r="F714" s="4" t="s">
        <v>267</v>
      </c>
    </row>
    <row r="715" spans="1:6" ht="30" customHeight="1">
      <c r="A715" s="6" t="s">
        <v>314</v>
      </c>
      <c r="B715" s="6" t="s">
        <v>315</v>
      </c>
      <c r="C715" s="6" t="s">
        <v>1273</v>
      </c>
      <c r="D715" s="6" t="s">
        <v>1390</v>
      </c>
      <c r="E715" s="6" t="s">
        <v>1391</v>
      </c>
      <c r="F715" s="6" t="s">
        <v>267</v>
      </c>
    </row>
    <row r="716" spans="1:6" ht="30" customHeight="1">
      <c r="A716" s="4" t="s">
        <v>314</v>
      </c>
      <c r="B716" s="4" t="s">
        <v>315</v>
      </c>
      <c r="C716" s="4" t="s">
        <v>1275</v>
      </c>
      <c r="D716" s="4" t="s">
        <v>1390</v>
      </c>
      <c r="E716" s="4" t="s">
        <v>1391</v>
      </c>
      <c r="F716" s="4" t="s">
        <v>267</v>
      </c>
    </row>
    <row r="717" spans="1:6" ht="30" customHeight="1">
      <c r="A717" s="6" t="s">
        <v>316</v>
      </c>
      <c r="B717" s="6" t="s">
        <v>317</v>
      </c>
      <c r="C717" s="6" t="s">
        <v>1259</v>
      </c>
      <c r="D717" s="6" t="s">
        <v>1390</v>
      </c>
      <c r="E717" s="6" t="s">
        <v>1391</v>
      </c>
      <c r="F717" s="6" t="s">
        <v>267</v>
      </c>
    </row>
    <row r="718" spans="1:6" ht="30" customHeight="1">
      <c r="A718" s="4" t="s">
        <v>316</v>
      </c>
      <c r="B718" s="4" t="s">
        <v>317</v>
      </c>
      <c r="C718" s="4" t="s">
        <v>1262</v>
      </c>
      <c r="D718" s="4" t="s">
        <v>1390</v>
      </c>
      <c r="E718" s="4" t="s">
        <v>1391</v>
      </c>
      <c r="F718" s="4" t="s">
        <v>267</v>
      </c>
    </row>
    <row r="719" spans="1:6" ht="30" customHeight="1">
      <c r="A719" s="6" t="s">
        <v>316</v>
      </c>
      <c r="B719" s="6" t="s">
        <v>317</v>
      </c>
      <c r="C719" s="6" t="s">
        <v>1263</v>
      </c>
      <c r="D719" s="6" t="s">
        <v>1390</v>
      </c>
      <c r="E719" s="6" t="s">
        <v>1391</v>
      </c>
      <c r="F719" s="6" t="s">
        <v>267</v>
      </c>
    </row>
    <row r="720" spans="1:6" ht="30" customHeight="1">
      <c r="A720" s="4" t="s">
        <v>316</v>
      </c>
      <c r="B720" s="4" t="s">
        <v>317</v>
      </c>
      <c r="C720" s="4" t="s">
        <v>1265</v>
      </c>
      <c r="D720" s="4" t="s">
        <v>1390</v>
      </c>
      <c r="E720" s="4" t="s">
        <v>1391</v>
      </c>
      <c r="F720" s="4" t="s">
        <v>267</v>
      </c>
    </row>
    <row r="721" spans="1:6" ht="30" customHeight="1">
      <c r="A721" s="6" t="s">
        <v>316</v>
      </c>
      <c r="B721" s="6" t="s">
        <v>317</v>
      </c>
      <c r="C721" s="6" t="s">
        <v>1267</v>
      </c>
      <c r="D721" s="6" t="s">
        <v>1390</v>
      </c>
      <c r="E721" s="6" t="s">
        <v>1391</v>
      </c>
      <c r="F721" s="6" t="s">
        <v>267</v>
      </c>
    </row>
    <row r="722" spans="1:6" ht="30" customHeight="1">
      <c r="A722" s="4" t="s">
        <v>316</v>
      </c>
      <c r="B722" s="4" t="s">
        <v>317</v>
      </c>
      <c r="C722" s="4" t="s">
        <v>1269</v>
      </c>
      <c r="D722" s="4" t="s">
        <v>1390</v>
      </c>
      <c r="E722" s="4" t="s">
        <v>1391</v>
      </c>
      <c r="F722" s="4" t="s">
        <v>267</v>
      </c>
    </row>
    <row r="723" spans="1:6" ht="30" customHeight="1">
      <c r="A723" s="6" t="s">
        <v>316</v>
      </c>
      <c r="B723" s="6" t="s">
        <v>317</v>
      </c>
      <c r="C723" s="6" t="s">
        <v>1271</v>
      </c>
      <c r="D723" s="6" t="s">
        <v>1390</v>
      </c>
      <c r="E723" s="6" t="s">
        <v>1391</v>
      </c>
      <c r="F723" s="6" t="s">
        <v>267</v>
      </c>
    </row>
    <row r="724" spans="1:6" ht="30" customHeight="1">
      <c r="A724" s="4" t="s">
        <v>316</v>
      </c>
      <c r="B724" s="4" t="s">
        <v>317</v>
      </c>
      <c r="C724" s="4" t="s">
        <v>1273</v>
      </c>
      <c r="D724" s="4" t="s">
        <v>1390</v>
      </c>
      <c r="E724" s="4" t="s">
        <v>1391</v>
      </c>
      <c r="F724" s="4" t="s">
        <v>267</v>
      </c>
    </row>
    <row r="725" spans="1:6" ht="30" customHeight="1">
      <c r="A725" s="6" t="s">
        <v>316</v>
      </c>
      <c r="B725" s="6" t="s">
        <v>317</v>
      </c>
      <c r="C725" s="6" t="s">
        <v>1275</v>
      </c>
      <c r="D725" s="6" t="s">
        <v>1390</v>
      </c>
      <c r="E725" s="6" t="s">
        <v>1391</v>
      </c>
      <c r="F725" s="6" t="s">
        <v>267</v>
      </c>
    </row>
    <row r="726" spans="1:6" ht="30" customHeight="1">
      <c r="A726" s="4" t="s">
        <v>318</v>
      </c>
      <c r="B726" s="4" t="s">
        <v>319</v>
      </c>
      <c r="C726" s="4" t="s">
        <v>1259</v>
      </c>
      <c r="D726" s="4" t="s">
        <v>1390</v>
      </c>
      <c r="E726" s="4" t="s">
        <v>1391</v>
      </c>
      <c r="F726" s="4" t="s">
        <v>267</v>
      </c>
    </row>
    <row r="727" spans="1:6" ht="30" customHeight="1">
      <c r="A727" s="6" t="s">
        <v>318</v>
      </c>
      <c r="B727" s="6" t="s">
        <v>319</v>
      </c>
      <c r="C727" s="6" t="s">
        <v>1262</v>
      </c>
      <c r="D727" s="6" t="s">
        <v>1390</v>
      </c>
      <c r="E727" s="6" t="s">
        <v>1391</v>
      </c>
      <c r="F727" s="6" t="s">
        <v>267</v>
      </c>
    </row>
    <row r="728" spans="1:6" ht="30" customHeight="1">
      <c r="A728" s="4" t="s">
        <v>318</v>
      </c>
      <c r="B728" s="4" t="s">
        <v>319</v>
      </c>
      <c r="C728" s="4" t="s">
        <v>1263</v>
      </c>
      <c r="D728" s="4" t="s">
        <v>1390</v>
      </c>
      <c r="E728" s="4" t="s">
        <v>1391</v>
      </c>
      <c r="F728" s="4" t="s">
        <v>267</v>
      </c>
    </row>
    <row r="729" spans="1:6" ht="30" customHeight="1">
      <c r="A729" s="6" t="s">
        <v>318</v>
      </c>
      <c r="B729" s="6" t="s">
        <v>319</v>
      </c>
      <c r="C729" s="6" t="s">
        <v>1265</v>
      </c>
      <c r="D729" s="6" t="s">
        <v>1390</v>
      </c>
      <c r="E729" s="6" t="s">
        <v>1391</v>
      </c>
      <c r="F729" s="6" t="s">
        <v>267</v>
      </c>
    </row>
    <row r="730" spans="1:6" ht="30" customHeight="1">
      <c r="A730" s="4" t="s">
        <v>318</v>
      </c>
      <c r="B730" s="4" t="s">
        <v>319</v>
      </c>
      <c r="C730" s="4" t="s">
        <v>1267</v>
      </c>
      <c r="D730" s="4" t="s">
        <v>1390</v>
      </c>
      <c r="E730" s="4" t="s">
        <v>1391</v>
      </c>
      <c r="F730" s="4" t="s">
        <v>267</v>
      </c>
    </row>
    <row r="731" spans="1:6" ht="30" customHeight="1">
      <c r="A731" s="6" t="s">
        <v>318</v>
      </c>
      <c r="B731" s="6" t="s">
        <v>319</v>
      </c>
      <c r="C731" s="6" t="s">
        <v>1269</v>
      </c>
      <c r="D731" s="6" t="s">
        <v>1390</v>
      </c>
      <c r="E731" s="6" t="s">
        <v>1391</v>
      </c>
      <c r="F731" s="6" t="s">
        <v>267</v>
      </c>
    </row>
    <row r="732" spans="1:6" ht="30" customHeight="1">
      <c r="A732" s="4" t="s">
        <v>318</v>
      </c>
      <c r="B732" s="4" t="s">
        <v>319</v>
      </c>
      <c r="C732" s="4" t="s">
        <v>1271</v>
      </c>
      <c r="D732" s="4" t="s">
        <v>1390</v>
      </c>
      <c r="E732" s="4" t="s">
        <v>1391</v>
      </c>
      <c r="F732" s="4" t="s">
        <v>267</v>
      </c>
    </row>
    <row r="733" spans="1:6" ht="30" customHeight="1">
      <c r="A733" s="6" t="s">
        <v>318</v>
      </c>
      <c r="B733" s="6" t="s">
        <v>319</v>
      </c>
      <c r="C733" s="6" t="s">
        <v>1273</v>
      </c>
      <c r="D733" s="6" t="s">
        <v>1390</v>
      </c>
      <c r="E733" s="6" t="s">
        <v>1391</v>
      </c>
      <c r="F733" s="6" t="s">
        <v>267</v>
      </c>
    </row>
    <row r="734" spans="1:6" ht="30" customHeight="1">
      <c r="A734" s="4" t="s">
        <v>318</v>
      </c>
      <c r="B734" s="4" t="s">
        <v>319</v>
      </c>
      <c r="C734" s="4" t="s">
        <v>1275</v>
      </c>
      <c r="D734" s="4" t="s">
        <v>1390</v>
      </c>
      <c r="E734" s="4" t="s">
        <v>1391</v>
      </c>
      <c r="F734" s="4" t="s">
        <v>267</v>
      </c>
    </row>
    <row r="735" spans="1:6" ht="30" customHeight="1">
      <c r="A735" s="6" t="s">
        <v>320</v>
      </c>
      <c r="B735" s="6" t="s">
        <v>321</v>
      </c>
      <c r="C735" s="6" t="s">
        <v>1259</v>
      </c>
      <c r="D735" s="6" t="s">
        <v>1390</v>
      </c>
      <c r="E735" s="6" t="s">
        <v>1391</v>
      </c>
      <c r="F735" s="6" t="s">
        <v>267</v>
      </c>
    </row>
    <row r="736" spans="1:6" ht="30" customHeight="1">
      <c r="A736" s="4" t="s">
        <v>320</v>
      </c>
      <c r="B736" s="4" t="s">
        <v>321</v>
      </c>
      <c r="C736" s="4" t="s">
        <v>1262</v>
      </c>
      <c r="D736" s="4" t="s">
        <v>1390</v>
      </c>
      <c r="E736" s="4" t="s">
        <v>1391</v>
      </c>
      <c r="F736" s="4" t="s">
        <v>267</v>
      </c>
    </row>
    <row r="737" spans="1:6" ht="30" customHeight="1">
      <c r="A737" s="6" t="s">
        <v>320</v>
      </c>
      <c r="B737" s="6" t="s">
        <v>321</v>
      </c>
      <c r="C737" s="6" t="s">
        <v>1263</v>
      </c>
      <c r="D737" s="6" t="s">
        <v>1390</v>
      </c>
      <c r="E737" s="6" t="s">
        <v>1391</v>
      </c>
      <c r="F737" s="6" t="s">
        <v>267</v>
      </c>
    </row>
    <row r="738" spans="1:6" ht="30" customHeight="1">
      <c r="A738" s="4" t="s">
        <v>320</v>
      </c>
      <c r="B738" s="4" t="s">
        <v>321</v>
      </c>
      <c r="C738" s="4" t="s">
        <v>1265</v>
      </c>
      <c r="D738" s="4" t="s">
        <v>1390</v>
      </c>
      <c r="E738" s="4" t="s">
        <v>1391</v>
      </c>
      <c r="F738" s="4" t="s">
        <v>267</v>
      </c>
    </row>
    <row r="739" spans="1:6" ht="30" customHeight="1">
      <c r="A739" s="6" t="s">
        <v>320</v>
      </c>
      <c r="B739" s="6" t="s">
        <v>321</v>
      </c>
      <c r="C739" s="6" t="s">
        <v>1267</v>
      </c>
      <c r="D739" s="6" t="s">
        <v>1390</v>
      </c>
      <c r="E739" s="6" t="s">
        <v>1391</v>
      </c>
      <c r="F739" s="6" t="s">
        <v>267</v>
      </c>
    </row>
    <row r="740" spans="1:6" ht="30" customHeight="1">
      <c r="A740" s="4" t="s">
        <v>320</v>
      </c>
      <c r="B740" s="4" t="s">
        <v>321</v>
      </c>
      <c r="C740" s="4" t="s">
        <v>1269</v>
      </c>
      <c r="D740" s="4" t="s">
        <v>1390</v>
      </c>
      <c r="E740" s="4" t="s">
        <v>1391</v>
      </c>
      <c r="F740" s="4" t="s">
        <v>267</v>
      </c>
    </row>
    <row r="741" spans="1:6" ht="30" customHeight="1">
      <c r="A741" s="6" t="s">
        <v>320</v>
      </c>
      <c r="B741" s="6" t="s">
        <v>321</v>
      </c>
      <c r="C741" s="6" t="s">
        <v>1271</v>
      </c>
      <c r="D741" s="6" t="s">
        <v>1390</v>
      </c>
      <c r="E741" s="6" t="s">
        <v>1391</v>
      </c>
      <c r="F741" s="6" t="s">
        <v>267</v>
      </c>
    </row>
    <row r="742" spans="1:6" ht="30" customHeight="1">
      <c r="A742" s="4" t="s">
        <v>320</v>
      </c>
      <c r="B742" s="4" t="s">
        <v>321</v>
      </c>
      <c r="C742" s="4" t="s">
        <v>1273</v>
      </c>
      <c r="D742" s="4" t="s">
        <v>1390</v>
      </c>
      <c r="E742" s="4" t="s">
        <v>1391</v>
      </c>
      <c r="F742" s="4" t="s">
        <v>267</v>
      </c>
    </row>
    <row r="743" spans="1:6" ht="30" customHeight="1">
      <c r="A743" s="6" t="s">
        <v>320</v>
      </c>
      <c r="B743" s="6" t="s">
        <v>321</v>
      </c>
      <c r="C743" s="6" t="s">
        <v>1275</v>
      </c>
      <c r="D743" s="6" t="s">
        <v>1390</v>
      </c>
      <c r="E743" s="6" t="s">
        <v>1391</v>
      </c>
      <c r="F743" s="6" t="s">
        <v>267</v>
      </c>
    </row>
    <row r="744" spans="1:6" ht="30" customHeight="1">
      <c r="A744" s="4" t="s">
        <v>322</v>
      </c>
      <c r="B744" s="4" t="s">
        <v>323</v>
      </c>
      <c r="C744" s="4" t="s">
        <v>1259</v>
      </c>
      <c r="D744" s="4" t="s">
        <v>1390</v>
      </c>
      <c r="E744" s="4" t="s">
        <v>1391</v>
      </c>
      <c r="F744" s="4" t="s">
        <v>267</v>
      </c>
    </row>
    <row r="745" spans="1:6" ht="30" customHeight="1">
      <c r="A745" s="6" t="s">
        <v>322</v>
      </c>
      <c r="B745" s="6" t="s">
        <v>323</v>
      </c>
      <c r="C745" s="6" t="s">
        <v>1262</v>
      </c>
      <c r="D745" s="6" t="s">
        <v>1390</v>
      </c>
      <c r="E745" s="6" t="s">
        <v>1391</v>
      </c>
      <c r="F745" s="6" t="s">
        <v>267</v>
      </c>
    </row>
    <row r="746" spans="1:6" ht="30" customHeight="1">
      <c r="A746" s="4" t="s">
        <v>322</v>
      </c>
      <c r="B746" s="4" t="s">
        <v>323</v>
      </c>
      <c r="C746" s="4" t="s">
        <v>1263</v>
      </c>
      <c r="D746" s="4" t="s">
        <v>1390</v>
      </c>
      <c r="E746" s="4" t="s">
        <v>1391</v>
      </c>
      <c r="F746" s="4" t="s">
        <v>267</v>
      </c>
    </row>
    <row r="747" spans="1:6" ht="30" customHeight="1">
      <c r="A747" s="6" t="s">
        <v>322</v>
      </c>
      <c r="B747" s="6" t="s">
        <v>323</v>
      </c>
      <c r="C747" s="6" t="s">
        <v>1265</v>
      </c>
      <c r="D747" s="6" t="s">
        <v>1390</v>
      </c>
      <c r="E747" s="6" t="s">
        <v>1391</v>
      </c>
      <c r="F747" s="6" t="s">
        <v>267</v>
      </c>
    </row>
    <row r="748" spans="1:6" ht="30" customHeight="1">
      <c r="A748" s="4" t="s">
        <v>322</v>
      </c>
      <c r="B748" s="4" t="s">
        <v>323</v>
      </c>
      <c r="C748" s="4" t="s">
        <v>1267</v>
      </c>
      <c r="D748" s="4" t="s">
        <v>1390</v>
      </c>
      <c r="E748" s="4" t="s">
        <v>1391</v>
      </c>
      <c r="F748" s="4" t="s">
        <v>267</v>
      </c>
    </row>
    <row r="749" spans="1:6" ht="30" customHeight="1">
      <c r="A749" s="6" t="s">
        <v>322</v>
      </c>
      <c r="B749" s="6" t="s">
        <v>323</v>
      </c>
      <c r="C749" s="6" t="s">
        <v>1269</v>
      </c>
      <c r="D749" s="6" t="s">
        <v>1390</v>
      </c>
      <c r="E749" s="6" t="s">
        <v>1391</v>
      </c>
      <c r="F749" s="6" t="s">
        <v>267</v>
      </c>
    </row>
    <row r="750" spans="1:6" ht="30" customHeight="1">
      <c r="A750" s="4" t="s">
        <v>322</v>
      </c>
      <c r="B750" s="4" t="s">
        <v>323</v>
      </c>
      <c r="C750" s="4" t="s">
        <v>1271</v>
      </c>
      <c r="D750" s="4" t="s">
        <v>1390</v>
      </c>
      <c r="E750" s="4" t="s">
        <v>1391</v>
      </c>
      <c r="F750" s="4" t="s">
        <v>267</v>
      </c>
    </row>
    <row r="751" spans="1:6" ht="30" customHeight="1">
      <c r="A751" s="6" t="s">
        <v>322</v>
      </c>
      <c r="B751" s="6" t="s">
        <v>323</v>
      </c>
      <c r="C751" s="6" t="s">
        <v>1273</v>
      </c>
      <c r="D751" s="6" t="s">
        <v>1390</v>
      </c>
      <c r="E751" s="6" t="s">
        <v>1391</v>
      </c>
      <c r="F751" s="6" t="s">
        <v>267</v>
      </c>
    </row>
    <row r="752" spans="1:6" ht="30" customHeight="1">
      <c r="A752" s="4" t="s">
        <v>322</v>
      </c>
      <c r="B752" s="4" t="s">
        <v>323</v>
      </c>
      <c r="C752" s="4" t="s">
        <v>1275</v>
      </c>
      <c r="D752" s="4" t="s">
        <v>1390</v>
      </c>
      <c r="E752" s="4" t="s">
        <v>1391</v>
      </c>
      <c r="F752" s="4" t="s">
        <v>267</v>
      </c>
    </row>
    <row r="753" spans="1:6" ht="30" customHeight="1">
      <c r="A753" s="6" t="s">
        <v>324</v>
      </c>
      <c r="B753" s="6" t="s">
        <v>325</v>
      </c>
      <c r="C753" s="6" t="s">
        <v>1259</v>
      </c>
      <c r="D753" s="6" t="s">
        <v>1390</v>
      </c>
      <c r="E753" s="6" t="s">
        <v>1391</v>
      </c>
      <c r="F753" s="6" t="s">
        <v>267</v>
      </c>
    </row>
    <row r="754" spans="1:6" ht="30" customHeight="1">
      <c r="A754" s="4" t="s">
        <v>324</v>
      </c>
      <c r="B754" s="4" t="s">
        <v>325</v>
      </c>
      <c r="C754" s="4" t="s">
        <v>1262</v>
      </c>
      <c r="D754" s="4" t="s">
        <v>1390</v>
      </c>
      <c r="E754" s="4" t="s">
        <v>1391</v>
      </c>
      <c r="F754" s="4" t="s">
        <v>267</v>
      </c>
    </row>
    <row r="755" spans="1:6" ht="30" customHeight="1">
      <c r="A755" s="6" t="s">
        <v>324</v>
      </c>
      <c r="B755" s="6" t="s">
        <v>325</v>
      </c>
      <c r="C755" s="6" t="s">
        <v>1263</v>
      </c>
      <c r="D755" s="6" t="s">
        <v>1390</v>
      </c>
      <c r="E755" s="6" t="s">
        <v>1391</v>
      </c>
      <c r="F755" s="6" t="s">
        <v>267</v>
      </c>
    </row>
    <row r="756" spans="1:6" ht="30" customHeight="1">
      <c r="A756" s="4" t="s">
        <v>324</v>
      </c>
      <c r="B756" s="4" t="s">
        <v>325</v>
      </c>
      <c r="C756" s="4" t="s">
        <v>1265</v>
      </c>
      <c r="D756" s="4" t="s">
        <v>1390</v>
      </c>
      <c r="E756" s="4" t="s">
        <v>1391</v>
      </c>
      <c r="F756" s="4" t="s">
        <v>267</v>
      </c>
    </row>
    <row r="757" spans="1:6" ht="30" customHeight="1">
      <c r="A757" s="6" t="s">
        <v>324</v>
      </c>
      <c r="B757" s="6" t="s">
        <v>325</v>
      </c>
      <c r="C757" s="6" t="s">
        <v>1267</v>
      </c>
      <c r="D757" s="6" t="s">
        <v>1390</v>
      </c>
      <c r="E757" s="6" t="s">
        <v>1391</v>
      </c>
      <c r="F757" s="6" t="s">
        <v>267</v>
      </c>
    </row>
    <row r="758" spans="1:6" ht="30" customHeight="1">
      <c r="A758" s="4" t="s">
        <v>324</v>
      </c>
      <c r="B758" s="4" t="s">
        <v>325</v>
      </c>
      <c r="C758" s="4" t="s">
        <v>1269</v>
      </c>
      <c r="D758" s="4" t="s">
        <v>1390</v>
      </c>
      <c r="E758" s="4" t="s">
        <v>1391</v>
      </c>
      <c r="F758" s="4" t="s">
        <v>267</v>
      </c>
    </row>
    <row r="759" spans="1:6" ht="30" customHeight="1">
      <c r="A759" s="6" t="s">
        <v>324</v>
      </c>
      <c r="B759" s="6" t="s">
        <v>325</v>
      </c>
      <c r="C759" s="6" t="s">
        <v>1271</v>
      </c>
      <c r="D759" s="6" t="s">
        <v>1390</v>
      </c>
      <c r="E759" s="6" t="s">
        <v>1391</v>
      </c>
      <c r="F759" s="6" t="s">
        <v>267</v>
      </c>
    </row>
    <row r="760" spans="1:6" ht="30" customHeight="1">
      <c r="A760" s="4" t="s">
        <v>324</v>
      </c>
      <c r="B760" s="4" t="s">
        <v>325</v>
      </c>
      <c r="C760" s="4" t="s">
        <v>1273</v>
      </c>
      <c r="D760" s="4" t="s">
        <v>1390</v>
      </c>
      <c r="E760" s="4" t="s">
        <v>1391</v>
      </c>
      <c r="F760" s="4" t="s">
        <v>267</v>
      </c>
    </row>
    <row r="761" spans="1:6" ht="30" customHeight="1">
      <c r="A761" s="6" t="s">
        <v>324</v>
      </c>
      <c r="B761" s="6" t="s">
        <v>325</v>
      </c>
      <c r="C761" s="6" t="s">
        <v>1275</v>
      </c>
      <c r="D761" s="6" t="s">
        <v>1390</v>
      </c>
      <c r="E761" s="6" t="s">
        <v>1391</v>
      </c>
      <c r="F761" s="6" t="s">
        <v>267</v>
      </c>
    </row>
    <row r="762" spans="1:6" ht="30" customHeight="1">
      <c r="A762" s="4" t="s">
        <v>326</v>
      </c>
      <c r="B762" s="4" t="s">
        <v>327</v>
      </c>
      <c r="C762" s="4" t="s">
        <v>1259</v>
      </c>
      <c r="D762" s="4" t="s">
        <v>1390</v>
      </c>
      <c r="E762" s="4" t="s">
        <v>1391</v>
      </c>
      <c r="F762" s="4" t="s">
        <v>267</v>
      </c>
    </row>
    <row r="763" spans="1:6" ht="30" customHeight="1">
      <c r="A763" s="6" t="s">
        <v>326</v>
      </c>
      <c r="B763" s="6" t="s">
        <v>327</v>
      </c>
      <c r="C763" s="6" t="s">
        <v>1262</v>
      </c>
      <c r="D763" s="6" t="s">
        <v>1390</v>
      </c>
      <c r="E763" s="6" t="s">
        <v>1391</v>
      </c>
      <c r="F763" s="6" t="s">
        <v>267</v>
      </c>
    </row>
    <row r="764" spans="1:6" ht="30" customHeight="1">
      <c r="A764" s="4" t="s">
        <v>326</v>
      </c>
      <c r="B764" s="4" t="s">
        <v>327</v>
      </c>
      <c r="C764" s="4" t="s">
        <v>1263</v>
      </c>
      <c r="D764" s="4" t="s">
        <v>1390</v>
      </c>
      <c r="E764" s="4" t="s">
        <v>1391</v>
      </c>
      <c r="F764" s="4" t="s">
        <v>267</v>
      </c>
    </row>
    <row r="765" spans="1:6" ht="30" customHeight="1">
      <c r="A765" s="6" t="s">
        <v>326</v>
      </c>
      <c r="B765" s="6" t="s">
        <v>327</v>
      </c>
      <c r="C765" s="6" t="s">
        <v>1265</v>
      </c>
      <c r="D765" s="6" t="s">
        <v>1390</v>
      </c>
      <c r="E765" s="6" t="s">
        <v>1391</v>
      </c>
      <c r="F765" s="6" t="s">
        <v>267</v>
      </c>
    </row>
    <row r="766" spans="1:6" ht="30" customHeight="1">
      <c r="A766" s="4" t="s">
        <v>326</v>
      </c>
      <c r="B766" s="4" t="s">
        <v>327</v>
      </c>
      <c r="C766" s="4" t="s">
        <v>1267</v>
      </c>
      <c r="D766" s="4" t="s">
        <v>1390</v>
      </c>
      <c r="E766" s="4" t="s">
        <v>1391</v>
      </c>
      <c r="F766" s="4" t="s">
        <v>267</v>
      </c>
    </row>
    <row r="767" spans="1:6" ht="30" customHeight="1">
      <c r="A767" s="6" t="s">
        <v>326</v>
      </c>
      <c r="B767" s="6" t="s">
        <v>327</v>
      </c>
      <c r="C767" s="6" t="s">
        <v>1269</v>
      </c>
      <c r="D767" s="6" t="s">
        <v>1390</v>
      </c>
      <c r="E767" s="6" t="s">
        <v>1391</v>
      </c>
      <c r="F767" s="6" t="s">
        <v>267</v>
      </c>
    </row>
    <row r="768" spans="1:6" ht="30" customHeight="1">
      <c r="A768" s="4" t="s">
        <v>326</v>
      </c>
      <c r="B768" s="4" t="s">
        <v>327</v>
      </c>
      <c r="C768" s="4" t="s">
        <v>1271</v>
      </c>
      <c r="D768" s="4" t="s">
        <v>1390</v>
      </c>
      <c r="E768" s="4" t="s">
        <v>1391</v>
      </c>
      <c r="F768" s="4" t="s">
        <v>267</v>
      </c>
    </row>
    <row r="769" spans="1:6" ht="30" customHeight="1">
      <c r="A769" s="6" t="s">
        <v>326</v>
      </c>
      <c r="B769" s="6" t="s">
        <v>327</v>
      </c>
      <c r="C769" s="6" t="s">
        <v>1273</v>
      </c>
      <c r="D769" s="6" t="s">
        <v>1390</v>
      </c>
      <c r="E769" s="6" t="s">
        <v>1391</v>
      </c>
      <c r="F769" s="6" t="s">
        <v>267</v>
      </c>
    </row>
    <row r="770" spans="1:6" ht="30" customHeight="1">
      <c r="A770" s="4" t="s">
        <v>326</v>
      </c>
      <c r="B770" s="4" t="s">
        <v>327</v>
      </c>
      <c r="C770" s="4" t="s">
        <v>1275</v>
      </c>
      <c r="D770" s="4" t="s">
        <v>1390</v>
      </c>
      <c r="E770" s="4" t="s">
        <v>1391</v>
      </c>
      <c r="F770" s="4" t="s">
        <v>267</v>
      </c>
    </row>
    <row r="771" spans="1:6" ht="30" customHeight="1">
      <c r="A771" s="6" t="s">
        <v>328</v>
      </c>
      <c r="B771" s="6" t="s">
        <v>329</v>
      </c>
      <c r="C771" s="6" t="s">
        <v>1259</v>
      </c>
      <c r="D771" s="6" t="s">
        <v>1390</v>
      </c>
      <c r="E771" s="6" t="s">
        <v>1391</v>
      </c>
      <c r="F771" s="6" t="s">
        <v>267</v>
      </c>
    </row>
    <row r="772" spans="1:6" ht="30" customHeight="1">
      <c r="A772" s="4" t="s">
        <v>328</v>
      </c>
      <c r="B772" s="4" t="s">
        <v>329</v>
      </c>
      <c r="C772" s="4" t="s">
        <v>1262</v>
      </c>
      <c r="D772" s="4" t="s">
        <v>1390</v>
      </c>
      <c r="E772" s="4" t="s">
        <v>1391</v>
      </c>
      <c r="F772" s="4" t="s">
        <v>267</v>
      </c>
    </row>
    <row r="773" spans="1:6" ht="30" customHeight="1">
      <c r="A773" s="6" t="s">
        <v>328</v>
      </c>
      <c r="B773" s="6" t="s">
        <v>329</v>
      </c>
      <c r="C773" s="6" t="s">
        <v>1263</v>
      </c>
      <c r="D773" s="6" t="s">
        <v>1390</v>
      </c>
      <c r="E773" s="6" t="s">
        <v>1391</v>
      </c>
      <c r="F773" s="6" t="s">
        <v>267</v>
      </c>
    </row>
    <row r="774" spans="1:6" ht="30" customHeight="1">
      <c r="A774" s="4" t="s">
        <v>328</v>
      </c>
      <c r="B774" s="4" t="s">
        <v>329</v>
      </c>
      <c r="C774" s="4" t="s">
        <v>1265</v>
      </c>
      <c r="D774" s="4" t="s">
        <v>1390</v>
      </c>
      <c r="E774" s="4" t="s">
        <v>1391</v>
      </c>
      <c r="F774" s="4" t="s">
        <v>267</v>
      </c>
    </row>
    <row r="775" spans="1:6" ht="30" customHeight="1">
      <c r="A775" s="6" t="s">
        <v>328</v>
      </c>
      <c r="B775" s="6" t="s">
        <v>329</v>
      </c>
      <c r="C775" s="6" t="s">
        <v>1267</v>
      </c>
      <c r="D775" s="6" t="s">
        <v>1390</v>
      </c>
      <c r="E775" s="6" t="s">
        <v>1391</v>
      </c>
      <c r="F775" s="6" t="s">
        <v>267</v>
      </c>
    </row>
    <row r="776" spans="1:6" ht="30" customHeight="1">
      <c r="A776" s="4" t="s">
        <v>328</v>
      </c>
      <c r="B776" s="4" t="s">
        <v>329</v>
      </c>
      <c r="C776" s="4" t="s">
        <v>1269</v>
      </c>
      <c r="D776" s="4" t="s">
        <v>1390</v>
      </c>
      <c r="E776" s="4" t="s">
        <v>1391</v>
      </c>
      <c r="F776" s="4" t="s">
        <v>267</v>
      </c>
    </row>
    <row r="777" spans="1:6" ht="30" customHeight="1">
      <c r="A777" s="6" t="s">
        <v>328</v>
      </c>
      <c r="B777" s="6" t="s">
        <v>329</v>
      </c>
      <c r="C777" s="6" t="s">
        <v>1271</v>
      </c>
      <c r="D777" s="6" t="s">
        <v>1390</v>
      </c>
      <c r="E777" s="6" t="s">
        <v>1391</v>
      </c>
      <c r="F777" s="6" t="s">
        <v>267</v>
      </c>
    </row>
    <row r="778" spans="1:6" ht="30" customHeight="1">
      <c r="A778" s="4" t="s">
        <v>328</v>
      </c>
      <c r="B778" s="4" t="s">
        <v>329</v>
      </c>
      <c r="C778" s="4" t="s">
        <v>1273</v>
      </c>
      <c r="D778" s="4" t="s">
        <v>1390</v>
      </c>
      <c r="E778" s="4" t="s">
        <v>1391</v>
      </c>
      <c r="F778" s="4" t="s">
        <v>267</v>
      </c>
    </row>
    <row r="779" spans="1:6" ht="30" customHeight="1">
      <c r="A779" s="6" t="s">
        <v>328</v>
      </c>
      <c r="B779" s="6" t="s">
        <v>329</v>
      </c>
      <c r="C779" s="6" t="s">
        <v>1275</v>
      </c>
      <c r="D779" s="6" t="s">
        <v>1390</v>
      </c>
      <c r="E779" s="6" t="s">
        <v>1391</v>
      </c>
      <c r="F779" s="6" t="s">
        <v>267</v>
      </c>
    </row>
    <row r="780" spans="1:6" ht="30" customHeight="1">
      <c r="A780" s="4" t="s">
        <v>330</v>
      </c>
      <c r="B780" s="4" t="s">
        <v>331</v>
      </c>
      <c r="C780" s="4" t="s">
        <v>1259</v>
      </c>
      <c r="D780" s="4" t="s">
        <v>1390</v>
      </c>
      <c r="E780" s="4" t="s">
        <v>1391</v>
      </c>
      <c r="F780" s="4" t="s">
        <v>267</v>
      </c>
    </row>
    <row r="781" spans="1:6" ht="30" customHeight="1">
      <c r="A781" s="6" t="s">
        <v>330</v>
      </c>
      <c r="B781" s="6" t="s">
        <v>331</v>
      </c>
      <c r="C781" s="6" t="s">
        <v>1262</v>
      </c>
      <c r="D781" s="6" t="s">
        <v>1390</v>
      </c>
      <c r="E781" s="6" t="s">
        <v>1391</v>
      </c>
      <c r="F781" s="6" t="s">
        <v>267</v>
      </c>
    </row>
    <row r="782" spans="1:6" ht="30" customHeight="1">
      <c r="A782" s="4" t="s">
        <v>330</v>
      </c>
      <c r="B782" s="4" t="s">
        <v>331</v>
      </c>
      <c r="C782" s="4" t="s">
        <v>1263</v>
      </c>
      <c r="D782" s="4" t="s">
        <v>1390</v>
      </c>
      <c r="E782" s="4" t="s">
        <v>1391</v>
      </c>
      <c r="F782" s="4" t="s">
        <v>267</v>
      </c>
    </row>
    <row r="783" spans="1:6" ht="30" customHeight="1">
      <c r="A783" s="6" t="s">
        <v>330</v>
      </c>
      <c r="B783" s="6" t="s">
        <v>331</v>
      </c>
      <c r="C783" s="6" t="s">
        <v>1265</v>
      </c>
      <c r="D783" s="6" t="s">
        <v>1390</v>
      </c>
      <c r="E783" s="6" t="s">
        <v>1391</v>
      </c>
      <c r="F783" s="6" t="s">
        <v>267</v>
      </c>
    </row>
    <row r="784" spans="1:6" ht="30" customHeight="1">
      <c r="A784" s="4" t="s">
        <v>330</v>
      </c>
      <c r="B784" s="4" t="s">
        <v>331</v>
      </c>
      <c r="C784" s="4" t="s">
        <v>1267</v>
      </c>
      <c r="D784" s="4" t="s">
        <v>1390</v>
      </c>
      <c r="E784" s="4" t="s">
        <v>1391</v>
      </c>
      <c r="F784" s="4" t="s">
        <v>267</v>
      </c>
    </row>
    <row r="785" spans="1:6" ht="30" customHeight="1">
      <c r="A785" s="6" t="s">
        <v>330</v>
      </c>
      <c r="B785" s="6" t="s">
        <v>331</v>
      </c>
      <c r="C785" s="6" t="s">
        <v>1269</v>
      </c>
      <c r="D785" s="6" t="s">
        <v>1390</v>
      </c>
      <c r="E785" s="6" t="s">
        <v>1391</v>
      </c>
      <c r="F785" s="6" t="s">
        <v>267</v>
      </c>
    </row>
    <row r="786" spans="1:6" ht="30" customHeight="1">
      <c r="A786" s="4" t="s">
        <v>330</v>
      </c>
      <c r="B786" s="4" t="s">
        <v>331</v>
      </c>
      <c r="C786" s="4" t="s">
        <v>1271</v>
      </c>
      <c r="D786" s="4" t="s">
        <v>1390</v>
      </c>
      <c r="E786" s="4" t="s">
        <v>1391</v>
      </c>
      <c r="F786" s="4" t="s">
        <v>267</v>
      </c>
    </row>
    <row r="787" spans="1:6" ht="30" customHeight="1">
      <c r="A787" s="6" t="s">
        <v>330</v>
      </c>
      <c r="B787" s="6" t="s">
        <v>331</v>
      </c>
      <c r="C787" s="6" t="s">
        <v>1273</v>
      </c>
      <c r="D787" s="6" t="s">
        <v>1390</v>
      </c>
      <c r="E787" s="6" t="s">
        <v>1391</v>
      </c>
      <c r="F787" s="6" t="s">
        <v>267</v>
      </c>
    </row>
    <row r="788" spans="1:6" ht="30" customHeight="1">
      <c r="A788" s="4" t="s">
        <v>330</v>
      </c>
      <c r="B788" s="4" t="s">
        <v>331</v>
      </c>
      <c r="C788" s="4" t="s">
        <v>1275</v>
      </c>
      <c r="D788" s="4" t="s">
        <v>1390</v>
      </c>
      <c r="E788" s="4" t="s">
        <v>1391</v>
      </c>
      <c r="F788" s="4" t="s">
        <v>267</v>
      </c>
    </row>
    <row r="789" spans="1:6" ht="30" customHeight="1">
      <c r="A789" s="6" t="s">
        <v>332</v>
      </c>
      <c r="B789" s="6" t="s">
        <v>333</v>
      </c>
      <c r="C789" s="6" t="s">
        <v>1259</v>
      </c>
      <c r="D789" s="6" t="s">
        <v>1390</v>
      </c>
      <c r="E789" s="6" t="s">
        <v>1391</v>
      </c>
      <c r="F789" s="6" t="s">
        <v>267</v>
      </c>
    </row>
    <row r="790" spans="1:6" ht="30" customHeight="1">
      <c r="A790" s="4" t="s">
        <v>332</v>
      </c>
      <c r="B790" s="4" t="s">
        <v>333</v>
      </c>
      <c r="C790" s="4" t="s">
        <v>1262</v>
      </c>
      <c r="D790" s="4" t="s">
        <v>1390</v>
      </c>
      <c r="E790" s="4" t="s">
        <v>1391</v>
      </c>
      <c r="F790" s="4" t="s">
        <v>267</v>
      </c>
    </row>
    <row r="791" spans="1:6" ht="30" customHeight="1">
      <c r="A791" s="6" t="s">
        <v>332</v>
      </c>
      <c r="B791" s="6" t="s">
        <v>333</v>
      </c>
      <c r="C791" s="6" t="s">
        <v>1263</v>
      </c>
      <c r="D791" s="6" t="s">
        <v>1390</v>
      </c>
      <c r="E791" s="6" t="s">
        <v>1391</v>
      </c>
      <c r="F791" s="6" t="s">
        <v>267</v>
      </c>
    </row>
    <row r="792" spans="1:6" ht="30" customHeight="1">
      <c r="A792" s="4" t="s">
        <v>332</v>
      </c>
      <c r="B792" s="4" t="s">
        <v>333</v>
      </c>
      <c r="C792" s="4" t="s">
        <v>1265</v>
      </c>
      <c r="D792" s="4" t="s">
        <v>1390</v>
      </c>
      <c r="E792" s="4" t="s">
        <v>1391</v>
      </c>
      <c r="F792" s="4" t="s">
        <v>267</v>
      </c>
    </row>
    <row r="793" spans="1:6" ht="30" customHeight="1">
      <c r="A793" s="6" t="s">
        <v>332</v>
      </c>
      <c r="B793" s="6" t="s">
        <v>333</v>
      </c>
      <c r="C793" s="6" t="s">
        <v>1267</v>
      </c>
      <c r="D793" s="6" t="s">
        <v>1390</v>
      </c>
      <c r="E793" s="6" t="s">
        <v>1391</v>
      </c>
      <c r="F793" s="6" t="s">
        <v>267</v>
      </c>
    </row>
    <row r="794" spans="1:6" ht="30" customHeight="1">
      <c r="A794" s="4" t="s">
        <v>332</v>
      </c>
      <c r="B794" s="4" t="s">
        <v>333</v>
      </c>
      <c r="C794" s="4" t="s">
        <v>1269</v>
      </c>
      <c r="D794" s="4" t="s">
        <v>1390</v>
      </c>
      <c r="E794" s="4" t="s">
        <v>1391</v>
      </c>
      <c r="F794" s="4" t="s">
        <v>267</v>
      </c>
    </row>
    <row r="795" spans="1:6" ht="30" customHeight="1">
      <c r="A795" s="6" t="s">
        <v>332</v>
      </c>
      <c r="B795" s="6" t="s">
        <v>333</v>
      </c>
      <c r="C795" s="6" t="s">
        <v>1271</v>
      </c>
      <c r="D795" s="6" t="s">
        <v>1390</v>
      </c>
      <c r="E795" s="6" t="s">
        <v>1391</v>
      </c>
      <c r="F795" s="6" t="s">
        <v>267</v>
      </c>
    </row>
    <row r="796" spans="1:6" ht="30" customHeight="1">
      <c r="A796" s="4" t="s">
        <v>332</v>
      </c>
      <c r="B796" s="4" t="s">
        <v>333</v>
      </c>
      <c r="C796" s="4" t="s">
        <v>1273</v>
      </c>
      <c r="D796" s="4" t="s">
        <v>1390</v>
      </c>
      <c r="E796" s="4" t="s">
        <v>1391</v>
      </c>
      <c r="F796" s="4" t="s">
        <v>267</v>
      </c>
    </row>
    <row r="797" spans="1:6" ht="30" customHeight="1">
      <c r="A797" s="6" t="s">
        <v>332</v>
      </c>
      <c r="B797" s="6" t="s">
        <v>333</v>
      </c>
      <c r="C797" s="6" t="s">
        <v>1275</v>
      </c>
      <c r="D797" s="6" t="s">
        <v>1390</v>
      </c>
      <c r="E797" s="6" t="s">
        <v>1391</v>
      </c>
      <c r="F797" s="6" t="s">
        <v>267</v>
      </c>
    </row>
    <row r="798" spans="1:6" ht="30" customHeight="1">
      <c r="A798" s="4" t="s">
        <v>334</v>
      </c>
      <c r="B798" s="4" t="s">
        <v>335</v>
      </c>
      <c r="C798" s="4" t="s">
        <v>1259</v>
      </c>
      <c r="D798" s="4" t="s">
        <v>1390</v>
      </c>
      <c r="E798" s="4" t="s">
        <v>1391</v>
      </c>
      <c r="F798" s="4" t="s">
        <v>267</v>
      </c>
    </row>
    <row r="799" spans="1:6" ht="30" customHeight="1">
      <c r="A799" s="6" t="s">
        <v>334</v>
      </c>
      <c r="B799" s="6" t="s">
        <v>335</v>
      </c>
      <c r="C799" s="6" t="s">
        <v>1262</v>
      </c>
      <c r="D799" s="6" t="s">
        <v>1390</v>
      </c>
      <c r="E799" s="6" t="s">
        <v>1391</v>
      </c>
      <c r="F799" s="6" t="s">
        <v>267</v>
      </c>
    </row>
    <row r="800" spans="1:6" ht="30" customHeight="1">
      <c r="A800" s="4" t="s">
        <v>334</v>
      </c>
      <c r="B800" s="4" t="s">
        <v>335</v>
      </c>
      <c r="C800" s="4" t="s">
        <v>1263</v>
      </c>
      <c r="D800" s="4" t="s">
        <v>1390</v>
      </c>
      <c r="E800" s="4" t="s">
        <v>1391</v>
      </c>
      <c r="F800" s="4" t="s">
        <v>267</v>
      </c>
    </row>
    <row r="801" spans="1:6" ht="30" customHeight="1">
      <c r="A801" s="6" t="s">
        <v>334</v>
      </c>
      <c r="B801" s="6" t="s">
        <v>335</v>
      </c>
      <c r="C801" s="6" t="s">
        <v>1265</v>
      </c>
      <c r="D801" s="6" t="s">
        <v>1390</v>
      </c>
      <c r="E801" s="6" t="s">
        <v>1391</v>
      </c>
      <c r="F801" s="6" t="s">
        <v>267</v>
      </c>
    </row>
    <row r="802" spans="1:6" ht="30" customHeight="1">
      <c r="A802" s="4" t="s">
        <v>334</v>
      </c>
      <c r="B802" s="4" t="s">
        <v>335</v>
      </c>
      <c r="C802" s="4" t="s">
        <v>1267</v>
      </c>
      <c r="D802" s="4" t="s">
        <v>1390</v>
      </c>
      <c r="E802" s="4" t="s">
        <v>1391</v>
      </c>
      <c r="F802" s="4" t="s">
        <v>267</v>
      </c>
    </row>
    <row r="803" spans="1:6" ht="30" customHeight="1">
      <c r="A803" s="6" t="s">
        <v>334</v>
      </c>
      <c r="B803" s="6" t="s">
        <v>335</v>
      </c>
      <c r="C803" s="6" t="s">
        <v>1269</v>
      </c>
      <c r="D803" s="6" t="s">
        <v>1390</v>
      </c>
      <c r="E803" s="6" t="s">
        <v>1391</v>
      </c>
      <c r="F803" s="6" t="s">
        <v>267</v>
      </c>
    </row>
    <row r="804" spans="1:6" ht="30" customHeight="1">
      <c r="A804" s="4" t="s">
        <v>334</v>
      </c>
      <c r="B804" s="4" t="s">
        <v>335</v>
      </c>
      <c r="C804" s="4" t="s">
        <v>1271</v>
      </c>
      <c r="D804" s="4" t="s">
        <v>1390</v>
      </c>
      <c r="E804" s="4" t="s">
        <v>1391</v>
      </c>
      <c r="F804" s="4" t="s">
        <v>267</v>
      </c>
    </row>
    <row r="805" spans="1:6" ht="30" customHeight="1">
      <c r="A805" s="6" t="s">
        <v>334</v>
      </c>
      <c r="B805" s="6" t="s">
        <v>335</v>
      </c>
      <c r="C805" s="6" t="s">
        <v>1273</v>
      </c>
      <c r="D805" s="6" t="s">
        <v>1390</v>
      </c>
      <c r="E805" s="6" t="s">
        <v>1391</v>
      </c>
      <c r="F805" s="6" t="s">
        <v>267</v>
      </c>
    </row>
    <row r="806" spans="1:6" ht="30" customHeight="1">
      <c r="A806" s="4" t="s">
        <v>334</v>
      </c>
      <c r="B806" s="4" t="s">
        <v>335</v>
      </c>
      <c r="C806" s="4" t="s">
        <v>1275</v>
      </c>
      <c r="D806" s="4" t="s">
        <v>1390</v>
      </c>
      <c r="E806" s="4" t="s">
        <v>1391</v>
      </c>
      <c r="F806" s="4" t="s">
        <v>267</v>
      </c>
    </row>
    <row r="807" spans="1:6" ht="30" customHeight="1">
      <c r="A807" s="6" t="s">
        <v>336</v>
      </c>
      <c r="B807" s="6" t="s">
        <v>337</v>
      </c>
      <c r="C807" s="6" t="s">
        <v>1259</v>
      </c>
      <c r="D807" s="6" t="s">
        <v>1390</v>
      </c>
      <c r="E807" s="6" t="s">
        <v>1391</v>
      </c>
      <c r="F807" s="6" t="s">
        <v>267</v>
      </c>
    </row>
    <row r="808" spans="1:6" ht="30" customHeight="1">
      <c r="A808" s="4" t="s">
        <v>336</v>
      </c>
      <c r="B808" s="4" t="s">
        <v>337</v>
      </c>
      <c r="C808" s="4" t="s">
        <v>1262</v>
      </c>
      <c r="D808" s="4" t="s">
        <v>1390</v>
      </c>
      <c r="E808" s="4" t="s">
        <v>1391</v>
      </c>
      <c r="F808" s="4" t="s">
        <v>267</v>
      </c>
    </row>
    <row r="809" spans="1:6" ht="30" customHeight="1">
      <c r="A809" s="6" t="s">
        <v>336</v>
      </c>
      <c r="B809" s="6" t="s">
        <v>337</v>
      </c>
      <c r="C809" s="6" t="s">
        <v>1263</v>
      </c>
      <c r="D809" s="6" t="s">
        <v>1390</v>
      </c>
      <c r="E809" s="6" t="s">
        <v>1391</v>
      </c>
      <c r="F809" s="6" t="s">
        <v>267</v>
      </c>
    </row>
    <row r="810" spans="1:6" ht="30" customHeight="1">
      <c r="A810" s="4" t="s">
        <v>336</v>
      </c>
      <c r="B810" s="4" t="s">
        <v>337</v>
      </c>
      <c r="C810" s="4" t="s">
        <v>1265</v>
      </c>
      <c r="D810" s="4" t="s">
        <v>1390</v>
      </c>
      <c r="E810" s="4" t="s">
        <v>1391</v>
      </c>
      <c r="F810" s="4" t="s">
        <v>267</v>
      </c>
    </row>
    <row r="811" spans="1:6" ht="30" customHeight="1">
      <c r="A811" s="6" t="s">
        <v>336</v>
      </c>
      <c r="B811" s="6" t="s">
        <v>337</v>
      </c>
      <c r="C811" s="6" t="s">
        <v>1267</v>
      </c>
      <c r="D811" s="6" t="s">
        <v>1390</v>
      </c>
      <c r="E811" s="6" t="s">
        <v>1391</v>
      </c>
      <c r="F811" s="6" t="s">
        <v>267</v>
      </c>
    </row>
    <row r="812" spans="1:6" ht="30" customHeight="1">
      <c r="A812" s="4" t="s">
        <v>336</v>
      </c>
      <c r="B812" s="4" t="s">
        <v>337</v>
      </c>
      <c r="C812" s="4" t="s">
        <v>1269</v>
      </c>
      <c r="D812" s="4" t="s">
        <v>1390</v>
      </c>
      <c r="E812" s="4" t="s">
        <v>1391</v>
      </c>
      <c r="F812" s="4" t="s">
        <v>267</v>
      </c>
    </row>
    <row r="813" spans="1:6" ht="30" customHeight="1">
      <c r="A813" s="6" t="s">
        <v>336</v>
      </c>
      <c r="B813" s="6" t="s">
        <v>337</v>
      </c>
      <c r="C813" s="6" t="s">
        <v>1271</v>
      </c>
      <c r="D813" s="6" t="s">
        <v>1390</v>
      </c>
      <c r="E813" s="6" t="s">
        <v>1391</v>
      </c>
      <c r="F813" s="6" t="s">
        <v>267</v>
      </c>
    </row>
    <row r="814" spans="1:6" ht="30" customHeight="1">
      <c r="A814" s="4" t="s">
        <v>336</v>
      </c>
      <c r="B814" s="4" t="s">
        <v>337</v>
      </c>
      <c r="C814" s="4" t="s">
        <v>1273</v>
      </c>
      <c r="D814" s="4" t="s">
        <v>1390</v>
      </c>
      <c r="E814" s="4" t="s">
        <v>1391</v>
      </c>
      <c r="F814" s="4" t="s">
        <v>267</v>
      </c>
    </row>
    <row r="815" spans="1:6" ht="30" customHeight="1">
      <c r="A815" s="6" t="s">
        <v>336</v>
      </c>
      <c r="B815" s="6" t="s">
        <v>337</v>
      </c>
      <c r="C815" s="6" t="s">
        <v>1275</v>
      </c>
      <c r="D815" s="6" t="s">
        <v>1390</v>
      </c>
      <c r="E815" s="6" t="s">
        <v>1391</v>
      </c>
      <c r="F815" s="6" t="s">
        <v>267</v>
      </c>
    </row>
    <row r="816" spans="1:6" ht="30" customHeight="1">
      <c r="A816" s="4" t="s">
        <v>338</v>
      </c>
      <c r="B816" s="4" t="s">
        <v>339</v>
      </c>
      <c r="C816" s="4" t="s">
        <v>1259</v>
      </c>
      <c r="D816" s="4" t="s">
        <v>1390</v>
      </c>
      <c r="E816" s="4" t="s">
        <v>1391</v>
      </c>
      <c r="F816" s="4" t="s">
        <v>267</v>
      </c>
    </row>
    <row r="817" spans="1:6" ht="30" customHeight="1">
      <c r="A817" s="6" t="s">
        <v>338</v>
      </c>
      <c r="B817" s="6" t="s">
        <v>339</v>
      </c>
      <c r="C817" s="6" t="s">
        <v>1262</v>
      </c>
      <c r="D817" s="6" t="s">
        <v>1390</v>
      </c>
      <c r="E817" s="6" t="s">
        <v>1391</v>
      </c>
      <c r="F817" s="6" t="s">
        <v>267</v>
      </c>
    </row>
    <row r="818" spans="1:6" ht="30" customHeight="1">
      <c r="A818" s="4" t="s">
        <v>338</v>
      </c>
      <c r="B818" s="4" t="s">
        <v>339</v>
      </c>
      <c r="C818" s="4" t="s">
        <v>1263</v>
      </c>
      <c r="D818" s="4" t="s">
        <v>1390</v>
      </c>
      <c r="E818" s="4" t="s">
        <v>1391</v>
      </c>
      <c r="F818" s="4" t="s">
        <v>267</v>
      </c>
    </row>
    <row r="819" spans="1:6" ht="30" customHeight="1">
      <c r="A819" s="6" t="s">
        <v>338</v>
      </c>
      <c r="B819" s="6" t="s">
        <v>339</v>
      </c>
      <c r="C819" s="6" t="s">
        <v>1265</v>
      </c>
      <c r="D819" s="6" t="s">
        <v>1390</v>
      </c>
      <c r="E819" s="6" t="s">
        <v>1391</v>
      </c>
      <c r="F819" s="6" t="s">
        <v>267</v>
      </c>
    </row>
    <row r="820" spans="1:6" ht="30" customHeight="1">
      <c r="A820" s="4" t="s">
        <v>338</v>
      </c>
      <c r="B820" s="4" t="s">
        <v>339</v>
      </c>
      <c r="C820" s="4" t="s">
        <v>1267</v>
      </c>
      <c r="D820" s="4" t="s">
        <v>1390</v>
      </c>
      <c r="E820" s="4" t="s">
        <v>1391</v>
      </c>
      <c r="F820" s="4" t="s">
        <v>267</v>
      </c>
    </row>
    <row r="821" spans="1:6" ht="30" customHeight="1">
      <c r="A821" s="6" t="s">
        <v>338</v>
      </c>
      <c r="B821" s="6" t="s">
        <v>339</v>
      </c>
      <c r="C821" s="6" t="s">
        <v>1269</v>
      </c>
      <c r="D821" s="6" t="s">
        <v>1390</v>
      </c>
      <c r="E821" s="6" t="s">
        <v>1391</v>
      </c>
      <c r="F821" s="6" t="s">
        <v>267</v>
      </c>
    </row>
    <row r="822" spans="1:6" ht="30" customHeight="1">
      <c r="A822" s="4" t="s">
        <v>338</v>
      </c>
      <c r="B822" s="4" t="s">
        <v>339</v>
      </c>
      <c r="C822" s="4" t="s">
        <v>1271</v>
      </c>
      <c r="D822" s="4" t="s">
        <v>1390</v>
      </c>
      <c r="E822" s="4" t="s">
        <v>1391</v>
      </c>
      <c r="F822" s="4" t="s">
        <v>267</v>
      </c>
    </row>
    <row r="823" spans="1:6" ht="30" customHeight="1">
      <c r="A823" s="6" t="s">
        <v>338</v>
      </c>
      <c r="B823" s="6" t="s">
        <v>339</v>
      </c>
      <c r="C823" s="6" t="s">
        <v>1273</v>
      </c>
      <c r="D823" s="6" t="s">
        <v>1390</v>
      </c>
      <c r="E823" s="6" t="s">
        <v>1391</v>
      </c>
      <c r="F823" s="6" t="s">
        <v>267</v>
      </c>
    </row>
    <row r="824" spans="1:6" ht="30" customHeight="1">
      <c r="A824" s="4" t="s">
        <v>338</v>
      </c>
      <c r="B824" s="4" t="s">
        <v>339</v>
      </c>
      <c r="C824" s="4" t="s">
        <v>1275</v>
      </c>
      <c r="D824" s="4" t="s">
        <v>1390</v>
      </c>
      <c r="E824" s="4" t="s">
        <v>1391</v>
      </c>
      <c r="F824" s="4" t="s">
        <v>267</v>
      </c>
    </row>
    <row r="825" spans="1:6" ht="30" customHeight="1">
      <c r="A825" s="6" t="s">
        <v>340</v>
      </c>
      <c r="B825" s="6" t="s">
        <v>341</v>
      </c>
      <c r="C825" s="6" t="s">
        <v>1259</v>
      </c>
      <c r="D825" s="6" t="s">
        <v>1390</v>
      </c>
      <c r="E825" s="6" t="s">
        <v>1391</v>
      </c>
      <c r="F825" s="6" t="s">
        <v>267</v>
      </c>
    </row>
    <row r="826" spans="1:6" ht="30" customHeight="1">
      <c r="A826" s="4" t="s">
        <v>340</v>
      </c>
      <c r="B826" s="4" t="s">
        <v>341</v>
      </c>
      <c r="C826" s="4" t="s">
        <v>1262</v>
      </c>
      <c r="D826" s="4" t="s">
        <v>1390</v>
      </c>
      <c r="E826" s="4" t="s">
        <v>1391</v>
      </c>
      <c r="F826" s="4" t="s">
        <v>267</v>
      </c>
    </row>
    <row r="827" spans="1:6" ht="30" customHeight="1">
      <c r="A827" s="6" t="s">
        <v>340</v>
      </c>
      <c r="B827" s="6" t="s">
        <v>341</v>
      </c>
      <c r="C827" s="6" t="s">
        <v>1263</v>
      </c>
      <c r="D827" s="6" t="s">
        <v>1390</v>
      </c>
      <c r="E827" s="6" t="s">
        <v>1391</v>
      </c>
      <c r="F827" s="6" t="s">
        <v>267</v>
      </c>
    </row>
    <row r="828" spans="1:6" ht="30" customHeight="1">
      <c r="A828" s="4" t="s">
        <v>340</v>
      </c>
      <c r="B828" s="4" t="s">
        <v>341</v>
      </c>
      <c r="C828" s="4" t="s">
        <v>1265</v>
      </c>
      <c r="D828" s="4" t="s">
        <v>1390</v>
      </c>
      <c r="E828" s="4" t="s">
        <v>1391</v>
      </c>
      <c r="F828" s="4" t="s">
        <v>267</v>
      </c>
    </row>
    <row r="829" spans="1:6" ht="30" customHeight="1">
      <c r="A829" s="6" t="s">
        <v>340</v>
      </c>
      <c r="B829" s="6" t="s">
        <v>341</v>
      </c>
      <c r="C829" s="6" t="s">
        <v>1267</v>
      </c>
      <c r="D829" s="6" t="s">
        <v>1390</v>
      </c>
      <c r="E829" s="6" t="s">
        <v>1391</v>
      </c>
      <c r="F829" s="6" t="s">
        <v>267</v>
      </c>
    </row>
    <row r="830" spans="1:6" ht="30" customHeight="1">
      <c r="A830" s="4" t="s">
        <v>340</v>
      </c>
      <c r="B830" s="4" t="s">
        <v>341</v>
      </c>
      <c r="C830" s="4" t="s">
        <v>1269</v>
      </c>
      <c r="D830" s="4" t="s">
        <v>1390</v>
      </c>
      <c r="E830" s="4" t="s">
        <v>1391</v>
      </c>
      <c r="F830" s="4" t="s">
        <v>267</v>
      </c>
    </row>
    <row r="831" spans="1:6" ht="30" customHeight="1">
      <c r="A831" s="6" t="s">
        <v>340</v>
      </c>
      <c r="B831" s="6" t="s">
        <v>341</v>
      </c>
      <c r="C831" s="6" t="s">
        <v>1271</v>
      </c>
      <c r="D831" s="6" t="s">
        <v>1390</v>
      </c>
      <c r="E831" s="6" t="s">
        <v>1391</v>
      </c>
      <c r="F831" s="6" t="s">
        <v>267</v>
      </c>
    </row>
    <row r="832" spans="1:6" ht="30" customHeight="1">
      <c r="A832" s="4" t="s">
        <v>340</v>
      </c>
      <c r="B832" s="4" t="s">
        <v>341</v>
      </c>
      <c r="C832" s="4" t="s">
        <v>1273</v>
      </c>
      <c r="D832" s="4" t="s">
        <v>1390</v>
      </c>
      <c r="E832" s="4" t="s">
        <v>1391</v>
      </c>
      <c r="F832" s="4" t="s">
        <v>267</v>
      </c>
    </row>
    <row r="833" spans="1:6" ht="30" customHeight="1">
      <c r="A833" s="6" t="s">
        <v>340</v>
      </c>
      <c r="B833" s="6" t="s">
        <v>341</v>
      </c>
      <c r="C833" s="6" t="s">
        <v>1275</v>
      </c>
      <c r="D833" s="6" t="s">
        <v>1390</v>
      </c>
      <c r="E833" s="6" t="s">
        <v>1391</v>
      </c>
      <c r="F833" s="6" t="s">
        <v>267</v>
      </c>
    </row>
    <row r="834" spans="1:6" ht="30" customHeight="1">
      <c r="A834" s="4" t="s">
        <v>342</v>
      </c>
      <c r="B834" s="4" t="s">
        <v>343</v>
      </c>
      <c r="C834" s="4" t="s">
        <v>1259</v>
      </c>
      <c r="D834" s="4" t="s">
        <v>1390</v>
      </c>
      <c r="E834" s="4" t="s">
        <v>1391</v>
      </c>
      <c r="F834" s="4" t="s">
        <v>267</v>
      </c>
    </row>
    <row r="835" spans="1:6" ht="30" customHeight="1">
      <c r="A835" s="6" t="s">
        <v>342</v>
      </c>
      <c r="B835" s="6" t="s">
        <v>343</v>
      </c>
      <c r="C835" s="6" t="s">
        <v>1262</v>
      </c>
      <c r="D835" s="6" t="s">
        <v>1390</v>
      </c>
      <c r="E835" s="6" t="s">
        <v>1391</v>
      </c>
      <c r="F835" s="6" t="s">
        <v>267</v>
      </c>
    </row>
    <row r="836" spans="1:6" ht="30" customHeight="1">
      <c r="A836" s="4" t="s">
        <v>342</v>
      </c>
      <c r="B836" s="4" t="s">
        <v>343</v>
      </c>
      <c r="C836" s="4" t="s">
        <v>1263</v>
      </c>
      <c r="D836" s="4" t="s">
        <v>1390</v>
      </c>
      <c r="E836" s="4" t="s">
        <v>1391</v>
      </c>
      <c r="F836" s="4" t="s">
        <v>267</v>
      </c>
    </row>
    <row r="837" spans="1:6" ht="30" customHeight="1">
      <c r="A837" s="6" t="s">
        <v>342</v>
      </c>
      <c r="B837" s="6" t="s">
        <v>343</v>
      </c>
      <c r="C837" s="6" t="s">
        <v>1265</v>
      </c>
      <c r="D837" s="6" t="s">
        <v>1390</v>
      </c>
      <c r="E837" s="6" t="s">
        <v>1391</v>
      </c>
      <c r="F837" s="6" t="s">
        <v>267</v>
      </c>
    </row>
    <row r="838" spans="1:6" ht="30" customHeight="1">
      <c r="A838" s="4" t="s">
        <v>342</v>
      </c>
      <c r="B838" s="4" t="s">
        <v>343</v>
      </c>
      <c r="C838" s="4" t="s">
        <v>1267</v>
      </c>
      <c r="D838" s="4" t="s">
        <v>1390</v>
      </c>
      <c r="E838" s="4" t="s">
        <v>1391</v>
      </c>
      <c r="F838" s="4" t="s">
        <v>267</v>
      </c>
    </row>
    <row r="839" spans="1:6" ht="30" customHeight="1">
      <c r="A839" s="6" t="s">
        <v>342</v>
      </c>
      <c r="B839" s="6" t="s">
        <v>343</v>
      </c>
      <c r="C839" s="6" t="s">
        <v>1269</v>
      </c>
      <c r="D839" s="6" t="s">
        <v>1390</v>
      </c>
      <c r="E839" s="6" t="s">
        <v>1391</v>
      </c>
      <c r="F839" s="6" t="s">
        <v>267</v>
      </c>
    </row>
    <row r="840" spans="1:6" ht="30" customHeight="1">
      <c r="A840" s="4" t="s">
        <v>342</v>
      </c>
      <c r="B840" s="4" t="s">
        <v>343</v>
      </c>
      <c r="C840" s="4" t="s">
        <v>1271</v>
      </c>
      <c r="D840" s="4" t="s">
        <v>1390</v>
      </c>
      <c r="E840" s="4" t="s">
        <v>1391</v>
      </c>
      <c r="F840" s="4" t="s">
        <v>267</v>
      </c>
    </row>
    <row r="841" spans="1:6" ht="30" customHeight="1">
      <c r="A841" s="6" t="s">
        <v>342</v>
      </c>
      <c r="B841" s="6" t="s">
        <v>343</v>
      </c>
      <c r="C841" s="6" t="s">
        <v>1273</v>
      </c>
      <c r="D841" s="6" t="s">
        <v>1390</v>
      </c>
      <c r="E841" s="6" t="s">
        <v>1391</v>
      </c>
      <c r="F841" s="6" t="s">
        <v>267</v>
      </c>
    </row>
    <row r="842" spans="1:6" ht="30" customHeight="1">
      <c r="A842" s="4" t="s">
        <v>342</v>
      </c>
      <c r="B842" s="4" t="s">
        <v>343</v>
      </c>
      <c r="C842" s="4" t="s">
        <v>1275</v>
      </c>
      <c r="D842" s="4" t="s">
        <v>1390</v>
      </c>
      <c r="E842" s="4" t="s">
        <v>1391</v>
      </c>
      <c r="F842" s="4" t="s">
        <v>267</v>
      </c>
    </row>
    <row r="843" spans="1:6" ht="30" customHeight="1">
      <c r="A843" s="6" t="s">
        <v>344</v>
      </c>
      <c r="B843" s="6" t="s">
        <v>345</v>
      </c>
      <c r="C843" s="6" t="s">
        <v>1259</v>
      </c>
      <c r="D843" s="6" t="s">
        <v>1390</v>
      </c>
      <c r="E843" s="6" t="s">
        <v>1391</v>
      </c>
      <c r="F843" s="6" t="s">
        <v>267</v>
      </c>
    </row>
    <row r="844" spans="1:6" ht="30" customHeight="1">
      <c r="A844" s="4" t="s">
        <v>344</v>
      </c>
      <c r="B844" s="4" t="s">
        <v>345</v>
      </c>
      <c r="C844" s="4" t="s">
        <v>1262</v>
      </c>
      <c r="D844" s="4" t="s">
        <v>1390</v>
      </c>
      <c r="E844" s="4" t="s">
        <v>1391</v>
      </c>
      <c r="F844" s="4" t="s">
        <v>267</v>
      </c>
    </row>
    <row r="845" spans="1:6" ht="30" customHeight="1">
      <c r="A845" s="6" t="s">
        <v>344</v>
      </c>
      <c r="B845" s="6" t="s">
        <v>345</v>
      </c>
      <c r="C845" s="6" t="s">
        <v>1263</v>
      </c>
      <c r="D845" s="6" t="s">
        <v>1390</v>
      </c>
      <c r="E845" s="6" t="s">
        <v>1391</v>
      </c>
      <c r="F845" s="6" t="s">
        <v>267</v>
      </c>
    </row>
    <row r="846" spans="1:6" ht="30" customHeight="1">
      <c r="A846" s="4" t="s">
        <v>344</v>
      </c>
      <c r="B846" s="4" t="s">
        <v>345</v>
      </c>
      <c r="C846" s="4" t="s">
        <v>1265</v>
      </c>
      <c r="D846" s="4" t="s">
        <v>1390</v>
      </c>
      <c r="E846" s="4" t="s">
        <v>1391</v>
      </c>
      <c r="F846" s="4" t="s">
        <v>267</v>
      </c>
    </row>
    <row r="847" spans="1:6" ht="30" customHeight="1">
      <c r="A847" s="6" t="s">
        <v>344</v>
      </c>
      <c r="B847" s="6" t="s">
        <v>345</v>
      </c>
      <c r="C847" s="6" t="s">
        <v>1267</v>
      </c>
      <c r="D847" s="6" t="s">
        <v>1390</v>
      </c>
      <c r="E847" s="6" t="s">
        <v>1391</v>
      </c>
      <c r="F847" s="6" t="s">
        <v>267</v>
      </c>
    </row>
    <row r="848" spans="1:6" ht="30" customHeight="1">
      <c r="A848" s="4" t="s">
        <v>344</v>
      </c>
      <c r="B848" s="4" t="s">
        <v>345</v>
      </c>
      <c r="C848" s="4" t="s">
        <v>1269</v>
      </c>
      <c r="D848" s="4" t="s">
        <v>1390</v>
      </c>
      <c r="E848" s="4" t="s">
        <v>1391</v>
      </c>
      <c r="F848" s="4" t="s">
        <v>267</v>
      </c>
    </row>
    <row r="849" spans="1:6" ht="30" customHeight="1">
      <c r="A849" s="6" t="s">
        <v>344</v>
      </c>
      <c r="B849" s="6" t="s">
        <v>345</v>
      </c>
      <c r="C849" s="6" t="s">
        <v>1271</v>
      </c>
      <c r="D849" s="6" t="s">
        <v>1390</v>
      </c>
      <c r="E849" s="6" t="s">
        <v>1391</v>
      </c>
      <c r="F849" s="6" t="s">
        <v>267</v>
      </c>
    </row>
    <row r="850" spans="1:6" ht="30" customHeight="1">
      <c r="A850" s="4" t="s">
        <v>344</v>
      </c>
      <c r="B850" s="4" t="s">
        <v>345</v>
      </c>
      <c r="C850" s="4" t="s">
        <v>1273</v>
      </c>
      <c r="D850" s="4" t="s">
        <v>1390</v>
      </c>
      <c r="E850" s="4" t="s">
        <v>1391</v>
      </c>
      <c r="F850" s="4" t="s">
        <v>267</v>
      </c>
    </row>
    <row r="851" spans="1:6" ht="30" customHeight="1">
      <c r="A851" s="6" t="s">
        <v>344</v>
      </c>
      <c r="B851" s="6" t="s">
        <v>345</v>
      </c>
      <c r="C851" s="6" t="s">
        <v>1275</v>
      </c>
      <c r="D851" s="6" t="s">
        <v>1390</v>
      </c>
      <c r="E851" s="6" t="s">
        <v>1391</v>
      </c>
      <c r="F851" s="6" t="s">
        <v>267</v>
      </c>
    </row>
    <row r="852" spans="1:6" ht="30" customHeight="1">
      <c r="A852" s="4" t="s">
        <v>346</v>
      </c>
      <c r="B852" s="4" t="s">
        <v>347</v>
      </c>
      <c r="C852" s="4" t="s">
        <v>1259</v>
      </c>
      <c r="D852" s="4" t="s">
        <v>1390</v>
      </c>
      <c r="E852" s="4" t="s">
        <v>1391</v>
      </c>
      <c r="F852" s="4" t="s">
        <v>267</v>
      </c>
    </row>
    <row r="853" spans="1:6" ht="30" customHeight="1">
      <c r="A853" s="6" t="s">
        <v>346</v>
      </c>
      <c r="B853" s="6" t="s">
        <v>347</v>
      </c>
      <c r="C853" s="6" t="s">
        <v>1262</v>
      </c>
      <c r="D853" s="6" t="s">
        <v>1390</v>
      </c>
      <c r="E853" s="6" t="s">
        <v>1391</v>
      </c>
      <c r="F853" s="6" t="s">
        <v>267</v>
      </c>
    </row>
    <row r="854" spans="1:6" ht="30" customHeight="1">
      <c r="A854" s="4" t="s">
        <v>346</v>
      </c>
      <c r="B854" s="4" t="s">
        <v>347</v>
      </c>
      <c r="C854" s="4" t="s">
        <v>1263</v>
      </c>
      <c r="D854" s="4" t="s">
        <v>1390</v>
      </c>
      <c r="E854" s="4" t="s">
        <v>1391</v>
      </c>
      <c r="F854" s="4" t="s">
        <v>267</v>
      </c>
    </row>
    <row r="855" spans="1:6" ht="30" customHeight="1">
      <c r="A855" s="6" t="s">
        <v>346</v>
      </c>
      <c r="B855" s="6" t="s">
        <v>347</v>
      </c>
      <c r="C855" s="6" t="s">
        <v>1265</v>
      </c>
      <c r="D855" s="6" t="s">
        <v>1390</v>
      </c>
      <c r="E855" s="6" t="s">
        <v>1391</v>
      </c>
      <c r="F855" s="6" t="s">
        <v>267</v>
      </c>
    </row>
    <row r="856" spans="1:6" ht="30" customHeight="1">
      <c r="A856" s="4" t="s">
        <v>346</v>
      </c>
      <c r="B856" s="4" t="s">
        <v>347</v>
      </c>
      <c r="C856" s="4" t="s">
        <v>1267</v>
      </c>
      <c r="D856" s="4" t="s">
        <v>1390</v>
      </c>
      <c r="E856" s="4" t="s">
        <v>1391</v>
      </c>
      <c r="F856" s="4" t="s">
        <v>267</v>
      </c>
    </row>
    <row r="857" spans="1:6" ht="30" customHeight="1">
      <c r="A857" s="6" t="s">
        <v>346</v>
      </c>
      <c r="B857" s="6" t="s">
        <v>347</v>
      </c>
      <c r="C857" s="6" t="s">
        <v>1269</v>
      </c>
      <c r="D857" s="6" t="s">
        <v>1390</v>
      </c>
      <c r="E857" s="6" t="s">
        <v>1391</v>
      </c>
      <c r="F857" s="6" t="s">
        <v>267</v>
      </c>
    </row>
    <row r="858" spans="1:6" ht="30" customHeight="1">
      <c r="A858" s="4" t="s">
        <v>346</v>
      </c>
      <c r="B858" s="4" t="s">
        <v>347</v>
      </c>
      <c r="C858" s="4" t="s">
        <v>1271</v>
      </c>
      <c r="D858" s="4" t="s">
        <v>1390</v>
      </c>
      <c r="E858" s="4" t="s">
        <v>1391</v>
      </c>
      <c r="F858" s="4" t="s">
        <v>267</v>
      </c>
    </row>
    <row r="859" spans="1:6" ht="30" customHeight="1">
      <c r="A859" s="6" t="s">
        <v>346</v>
      </c>
      <c r="B859" s="6" t="s">
        <v>347</v>
      </c>
      <c r="C859" s="6" t="s">
        <v>1273</v>
      </c>
      <c r="D859" s="6" t="s">
        <v>1390</v>
      </c>
      <c r="E859" s="6" t="s">
        <v>1391</v>
      </c>
      <c r="F859" s="6" t="s">
        <v>267</v>
      </c>
    </row>
    <row r="860" spans="1:6" ht="30" customHeight="1">
      <c r="A860" s="4" t="s">
        <v>346</v>
      </c>
      <c r="B860" s="4" t="s">
        <v>347</v>
      </c>
      <c r="C860" s="4" t="s">
        <v>1275</v>
      </c>
      <c r="D860" s="4" t="s">
        <v>1390</v>
      </c>
      <c r="E860" s="4" t="s">
        <v>1391</v>
      </c>
      <c r="F860" s="4" t="s">
        <v>267</v>
      </c>
    </row>
    <row r="861" spans="1:6" ht="30" customHeight="1">
      <c r="A861" s="6" t="s">
        <v>348</v>
      </c>
      <c r="B861" s="6" t="s">
        <v>349</v>
      </c>
      <c r="C861" s="6" t="s">
        <v>1259</v>
      </c>
      <c r="D861" s="6" t="s">
        <v>1390</v>
      </c>
      <c r="E861" s="6" t="s">
        <v>1391</v>
      </c>
      <c r="F861" s="6" t="s">
        <v>267</v>
      </c>
    </row>
    <row r="862" spans="1:6" ht="30" customHeight="1">
      <c r="A862" s="4" t="s">
        <v>348</v>
      </c>
      <c r="B862" s="4" t="s">
        <v>349</v>
      </c>
      <c r="C862" s="4" t="s">
        <v>1262</v>
      </c>
      <c r="D862" s="4" t="s">
        <v>1390</v>
      </c>
      <c r="E862" s="4" t="s">
        <v>1391</v>
      </c>
      <c r="F862" s="4" t="s">
        <v>267</v>
      </c>
    </row>
    <row r="863" spans="1:6" ht="30" customHeight="1">
      <c r="A863" s="6" t="s">
        <v>348</v>
      </c>
      <c r="B863" s="6" t="s">
        <v>349</v>
      </c>
      <c r="C863" s="6" t="s">
        <v>1263</v>
      </c>
      <c r="D863" s="6" t="s">
        <v>1390</v>
      </c>
      <c r="E863" s="6" t="s">
        <v>1391</v>
      </c>
      <c r="F863" s="6" t="s">
        <v>267</v>
      </c>
    </row>
    <row r="864" spans="1:6" ht="30" customHeight="1">
      <c r="A864" s="4" t="s">
        <v>348</v>
      </c>
      <c r="B864" s="4" t="s">
        <v>349</v>
      </c>
      <c r="C864" s="4" t="s">
        <v>1265</v>
      </c>
      <c r="D864" s="4" t="s">
        <v>1390</v>
      </c>
      <c r="E864" s="4" t="s">
        <v>1391</v>
      </c>
      <c r="F864" s="4" t="s">
        <v>267</v>
      </c>
    </row>
    <row r="865" spans="1:6" ht="30" customHeight="1">
      <c r="A865" s="6" t="s">
        <v>348</v>
      </c>
      <c r="B865" s="6" t="s">
        <v>349</v>
      </c>
      <c r="C865" s="6" t="s">
        <v>1267</v>
      </c>
      <c r="D865" s="6" t="s">
        <v>1390</v>
      </c>
      <c r="E865" s="6" t="s">
        <v>1391</v>
      </c>
      <c r="F865" s="6" t="s">
        <v>267</v>
      </c>
    </row>
    <row r="866" spans="1:6" ht="30" customHeight="1">
      <c r="A866" s="4" t="s">
        <v>348</v>
      </c>
      <c r="B866" s="4" t="s">
        <v>349</v>
      </c>
      <c r="C866" s="4" t="s">
        <v>1269</v>
      </c>
      <c r="D866" s="4" t="s">
        <v>1390</v>
      </c>
      <c r="E866" s="4" t="s">
        <v>1391</v>
      </c>
      <c r="F866" s="4" t="s">
        <v>267</v>
      </c>
    </row>
    <row r="867" spans="1:6" ht="30" customHeight="1">
      <c r="A867" s="6" t="s">
        <v>348</v>
      </c>
      <c r="B867" s="6" t="s">
        <v>349</v>
      </c>
      <c r="C867" s="6" t="s">
        <v>1271</v>
      </c>
      <c r="D867" s="6" t="s">
        <v>1390</v>
      </c>
      <c r="E867" s="6" t="s">
        <v>1391</v>
      </c>
      <c r="F867" s="6" t="s">
        <v>267</v>
      </c>
    </row>
    <row r="868" spans="1:6" ht="30" customHeight="1">
      <c r="A868" s="4" t="s">
        <v>348</v>
      </c>
      <c r="B868" s="4" t="s">
        <v>349</v>
      </c>
      <c r="C868" s="4" t="s">
        <v>1273</v>
      </c>
      <c r="D868" s="4" t="s">
        <v>1390</v>
      </c>
      <c r="E868" s="4" t="s">
        <v>1391</v>
      </c>
      <c r="F868" s="4" t="s">
        <v>267</v>
      </c>
    </row>
    <row r="869" spans="1:6" ht="30" customHeight="1">
      <c r="A869" s="6" t="s">
        <v>348</v>
      </c>
      <c r="B869" s="6" t="s">
        <v>349</v>
      </c>
      <c r="C869" s="6" t="s">
        <v>1275</v>
      </c>
      <c r="D869" s="6" t="s">
        <v>1390</v>
      </c>
      <c r="E869" s="6" t="s">
        <v>1391</v>
      </c>
      <c r="F869" s="6" t="s">
        <v>267</v>
      </c>
    </row>
    <row r="870" spans="1:6" ht="30" customHeight="1">
      <c r="A870" s="4" t="s">
        <v>350</v>
      </c>
      <c r="B870" s="4" t="s">
        <v>351</v>
      </c>
      <c r="C870" s="4" t="s">
        <v>1259</v>
      </c>
      <c r="D870" s="4" t="s">
        <v>1390</v>
      </c>
      <c r="E870" s="4" t="s">
        <v>1391</v>
      </c>
      <c r="F870" s="4" t="s">
        <v>267</v>
      </c>
    </row>
    <row r="871" spans="1:6" ht="30" customHeight="1">
      <c r="A871" s="6" t="s">
        <v>350</v>
      </c>
      <c r="B871" s="6" t="s">
        <v>351</v>
      </c>
      <c r="C871" s="6" t="s">
        <v>1262</v>
      </c>
      <c r="D871" s="6" t="s">
        <v>1390</v>
      </c>
      <c r="E871" s="6" t="s">
        <v>1391</v>
      </c>
      <c r="F871" s="6" t="s">
        <v>267</v>
      </c>
    </row>
    <row r="872" spans="1:6" ht="30" customHeight="1">
      <c r="A872" s="4" t="s">
        <v>350</v>
      </c>
      <c r="B872" s="4" t="s">
        <v>351</v>
      </c>
      <c r="C872" s="4" t="s">
        <v>1263</v>
      </c>
      <c r="D872" s="4" t="s">
        <v>1390</v>
      </c>
      <c r="E872" s="4" t="s">
        <v>1391</v>
      </c>
      <c r="F872" s="4" t="s">
        <v>267</v>
      </c>
    </row>
    <row r="873" spans="1:6" ht="30" customHeight="1">
      <c r="A873" s="6" t="s">
        <v>350</v>
      </c>
      <c r="B873" s="6" t="s">
        <v>351</v>
      </c>
      <c r="C873" s="6" t="s">
        <v>1265</v>
      </c>
      <c r="D873" s="6" t="s">
        <v>1390</v>
      </c>
      <c r="E873" s="6" t="s">
        <v>1391</v>
      </c>
      <c r="F873" s="6" t="s">
        <v>267</v>
      </c>
    </row>
    <row r="874" spans="1:6" ht="30" customHeight="1">
      <c r="A874" s="4" t="s">
        <v>350</v>
      </c>
      <c r="B874" s="4" t="s">
        <v>351</v>
      </c>
      <c r="C874" s="4" t="s">
        <v>1267</v>
      </c>
      <c r="D874" s="4" t="s">
        <v>1390</v>
      </c>
      <c r="E874" s="4" t="s">
        <v>1391</v>
      </c>
      <c r="F874" s="4" t="s">
        <v>267</v>
      </c>
    </row>
    <row r="875" spans="1:6" ht="30" customHeight="1">
      <c r="A875" s="6" t="s">
        <v>350</v>
      </c>
      <c r="B875" s="6" t="s">
        <v>351</v>
      </c>
      <c r="C875" s="6" t="s">
        <v>1269</v>
      </c>
      <c r="D875" s="6" t="s">
        <v>1390</v>
      </c>
      <c r="E875" s="6" t="s">
        <v>1391</v>
      </c>
      <c r="F875" s="6" t="s">
        <v>267</v>
      </c>
    </row>
    <row r="876" spans="1:6" ht="30" customHeight="1">
      <c r="A876" s="4" t="s">
        <v>350</v>
      </c>
      <c r="B876" s="4" t="s">
        <v>351</v>
      </c>
      <c r="C876" s="4" t="s">
        <v>1271</v>
      </c>
      <c r="D876" s="4" t="s">
        <v>1390</v>
      </c>
      <c r="E876" s="4" t="s">
        <v>1391</v>
      </c>
      <c r="F876" s="4" t="s">
        <v>267</v>
      </c>
    </row>
    <row r="877" spans="1:6" ht="30" customHeight="1">
      <c r="A877" s="6" t="s">
        <v>350</v>
      </c>
      <c r="B877" s="6" t="s">
        <v>351</v>
      </c>
      <c r="C877" s="6" t="s">
        <v>1273</v>
      </c>
      <c r="D877" s="6" t="s">
        <v>1390</v>
      </c>
      <c r="E877" s="6" t="s">
        <v>1391</v>
      </c>
      <c r="F877" s="6" t="s">
        <v>267</v>
      </c>
    </row>
    <row r="878" spans="1:6" ht="30" customHeight="1">
      <c r="A878" s="4" t="s">
        <v>350</v>
      </c>
      <c r="B878" s="4" t="s">
        <v>351</v>
      </c>
      <c r="C878" s="4" t="s">
        <v>1275</v>
      </c>
      <c r="D878" s="4" t="s">
        <v>1390</v>
      </c>
      <c r="E878" s="4" t="s">
        <v>1391</v>
      </c>
      <c r="F878" s="4" t="s">
        <v>267</v>
      </c>
    </row>
    <row r="879" spans="1:6" ht="30" customHeight="1">
      <c r="A879" s="6" t="s">
        <v>352</v>
      </c>
      <c r="B879" s="6" t="s">
        <v>353</v>
      </c>
      <c r="C879" s="6" t="s">
        <v>1259</v>
      </c>
      <c r="D879" s="6" t="s">
        <v>1390</v>
      </c>
      <c r="E879" s="6" t="s">
        <v>1391</v>
      </c>
      <c r="F879" s="6" t="s">
        <v>267</v>
      </c>
    </row>
    <row r="880" spans="1:6" ht="30" customHeight="1">
      <c r="A880" s="4" t="s">
        <v>352</v>
      </c>
      <c r="B880" s="4" t="s">
        <v>353</v>
      </c>
      <c r="C880" s="4" t="s">
        <v>1262</v>
      </c>
      <c r="D880" s="4" t="s">
        <v>1390</v>
      </c>
      <c r="E880" s="4" t="s">
        <v>1391</v>
      </c>
      <c r="F880" s="4" t="s">
        <v>267</v>
      </c>
    </row>
    <row r="881" spans="1:6" ht="30" customHeight="1">
      <c r="A881" s="6" t="s">
        <v>352</v>
      </c>
      <c r="B881" s="6" t="s">
        <v>353</v>
      </c>
      <c r="C881" s="6" t="s">
        <v>1263</v>
      </c>
      <c r="D881" s="6" t="s">
        <v>1390</v>
      </c>
      <c r="E881" s="6" t="s">
        <v>1391</v>
      </c>
      <c r="F881" s="6" t="s">
        <v>267</v>
      </c>
    </row>
    <row r="882" spans="1:6" ht="30" customHeight="1">
      <c r="A882" s="4" t="s">
        <v>352</v>
      </c>
      <c r="B882" s="4" t="s">
        <v>353</v>
      </c>
      <c r="C882" s="4" t="s">
        <v>1265</v>
      </c>
      <c r="D882" s="4" t="s">
        <v>1390</v>
      </c>
      <c r="E882" s="4" t="s">
        <v>1391</v>
      </c>
      <c r="F882" s="4" t="s">
        <v>267</v>
      </c>
    </row>
    <row r="883" spans="1:6" ht="30" customHeight="1">
      <c r="A883" s="6" t="s">
        <v>352</v>
      </c>
      <c r="B883" s="6" t="s">
        <v>353</v>
      </c>
      <c r="C883" s="6" t="s">
        <v>1267</v>
      </c>
      <c r="D883" s="6" t="s">
        <v>1390</v>
      </c>
      <c r="E883" s="6" t="s">
        <v>1391</v>
      </c>
      <c r="F883" s="6" t="s">
        <v>267</v>
      </c>
    </row>
    <row r="884" spans="1:6" ht="30" customHeight="1">
      <c r="A884" s="4" t="s">
        <v>352</v>
      </c>
      <c r="B884" s="4" t="s">
        <v>353</v>
      </c>
      <c r="C884" s="4" t="s">
        <v>1269</v>
      </c>
      <c r="D884" s="4" t="s">
        <v>1390</v>
      </c>
      <c r="E884" s="4" t="s">
        <v>1391</v>
      </c>
      <c r="F884" s="4" t="s">
        <v>267</v>
      </c>
    </row>
    <row r="885" spans="1:6" ht="30" customHeight="1">
      <c r="A885" s="6" t="s">
        <v>352</v>
      </c>
      <c r="B885" s="6" t="s">
        <v>353</v>
      </c>
      <c r="C885" s="6" t="s">
        <v>1271</v>
      </c>
      <c r="D885" s="6" t="s">
        <v>1390</v>
      </c>
      <c r="E885" s="6" t="s">
        <v>1391</v>
      </c>
      <c r="F885" s="6" t="s">
        <v>267</v>
      </c>
    </row>
    <row r="886" spans="1:6" ht="30" customHeight="1">
      <c r="A886" s="4" t="s">
        <v>352</v>
      </c>
      <c r="B886" s="4" t="s">
        <v>353</v>
      </c>
      <c r="C886" s="4" t="s">
        <v>1273</v>
      </c>
      <c r="D886" s="4" t="s">
        <v>1390</v>
      </c>
      <c r="E886" s="4" t="s">
        <v>1391</v>
      </c>
      <c r="F886" s="4" t="s">
        <v>267</v>
      </c>
    </row>
    <row r="887" spans="1:6" ht="30" customHeight="1">
      <c r="A887" s="6" t="s">
        <v>352</v>
      </c>
      <c r="B887" s="6" t="s">
        <v>353</v>
      </c>
      <c r="C887" s="6" t="s">
        <v>1275</v>
      </c>
      <c r="D887" s="6" t="s">
        <v>1390</v>
      </c>
      <c r="E887" s="6" t="s">
        <v>1391</v>
      </c>
      <c r="F887" s="6" t="s">
        <v>267</v>
      </c>
    </row>
    <row r="888" spans="1:6" ht="30" customHeight="1">
      <c r="A888" s="4" t="s">
        <v>356</v>
      </c>
      <c r="B888" s="4" t="s">
        <v>357</v>
      </c>
      <c r="C888" s="4" t="s">
        <v>1259</v>
      </c>
      <c r="D888" s="4" t="s">
        <v>1390</v>
      </c>
      <c r="E888" s="4" t="s">
        <v>1391</v>
      </c>
      <c r="F888" s="4" t="s">
        <v>267</v>
      </c>
    </row>
    <row r="889" spans="1:6" ht="30" customHeight="1">
      <c r="A889" s="6" t="s">
        <v>356</v>
      </c>
      <c r="B889" s="6" t="s">
        <v>357</v>
      </c>
      <c r="C889" s="6" t="s">
        <v>1262</v>
      </c>
      <c r="D889" s="6" t="s">
        <v>1390</v>
      </c>
      <c r="E889" s="6" t="s">
        <v>1391</v>
      </c>
      <c r="F889" s="6" t="s">
        <v>267</v>
      </c>
    </row>
    <row r="890" spans="1:6" ht="30" customHeight="1">
      <c r="A890" s="4" t="s">
        <v>356</v>
      </c>
      <c r="B890" s="4" t="s">
        <v>357</v>
      </c>
      <c r="C890" s="4" t="s">
        <v>1263</v>
      </c>
      <c r="D890" s="4" t="s">
        <v>1390</v>
      </c>
      <c r="E890" s="4" t="s">
        <v>1391</v>
      </c>
      <c r="F890" s="4" t="s">
        <v>267</v>
      </c>
    </row>
    <row r="891" spans="1:6" ht="30" customHeight="1">
      <c r="A891" s="6" t="s">
        <v>356</v>
      </c>
      <c r="B891" s="6" t="s">
        <v>357</v>
      </c>
      <c r="C891" s="6" t="s">
        <v>1265</v>
      </c>
      <c r="D891" s="6" t="s">
        <v>1390</v>
      </c>
      <c r="E891" s="6" t="s">
        <v>1391</v>
      </c>
      <c r="F891" s="6" t="s">
        <v>267</v>
      </c>
    </row>
    <row r="892" spans="1:6" ht="30" customHeight="1">
      <c r="A892" s="4" t="s">
        <v>356</v>
      </c>
      <c r="B892" s="4" t="s">
        <v>357</v>
      </c>
      <c r="C892" s="4" t="s">
        <v>1267</v>
      </c>
      <c r="D892" s="4" t="s">
        <v>1390</v>
      </c>
      <c r="E892" s="4" t="s">
        <v>1391</v>
      </c>
      <c r="F892" s="4" t="s">
        <v>267</v>
      </c>
    </row>
    <row r="893" spans="1:6" ht="30" customHeight="1">
      <c r="A893" s="6" t="s">
        <v>356</v>
      </c>
      <c r="B893" s="6" t="s">
        <v>357</v>
      </c>
      <c r="C893" s="6" t="s">
        <v>1269</v>
      </c>
      <c r="D893" s="6" t="s">
        <v>1390</v>
      </c>
      <c r="E893" s="6" t="s">
        <v>1391</v>
      </c>
      <c r="F893" s="6" t="s">
        <v>267</v>
      </c>
    </row>
    <row r="894" spans="1:6" ht="30" customHeight="1">
      <c r="A894" s="4" t="s">
        <v>356</v>
      </c>
      <c r="B894" s="4" t="s">
        <v>357</v>
      </c>
      <c r="C894" s="4" t="s">
        <v>1271</v>
      </c>
      <c r="D894" s="4" t="s">
        <v>1390</v>
      </c>
      <c r="E894" s="4" t="s">
        <v>1391</v>
      </c>
      <c r="F894" s="4" t="s">
        <v>267</v>
      </c>
    </row>
    <row r="895" spans="1:6" ht="30" customHeight="1">
      <c r="A895" s="6" t="s">
        <v>356</v>
      </c>
      <c r="B895" s="6" t="s">
        <v>357</v>
      </c>
      <c r="C895" s="6" t="s">
        <v>1273</v>
      </c>
      <c r="D895" s="6" t="s">
        <v>1390</v>
      </c>
      <c r="E895" s="6" t="s">
        <v>1391</v>
      </c>
      <c r="F895" s="6" t="s">
        <v>267</v>
      </c>
    </row>
    <row r="896" spans="1:6" ht="30" customHeight="1">
      <c r="A896" s="4" t="s">
        <v>356</v>
      </c>
      <c r="B896" s="4" t="s">
        <v>357</v>
      </c>
      <c r="C896" s="4" t="s">
        <v>1275</v>
      </c>
      <c r="D896" s="4" t="s">
        <v>1390</v>
      </c>
      <c r="E896" s="4" t="s">
        <v>1391</v>
      </c>
      <c r="F896" s="4" t="s">
        <v>267</v>
      </c>
    </row>
    <row r="897" spans="1:6" ht="30" customHeight="1">
      <c r="A897" s="6" t="s">
        <v>358</v>
      </c>
      <c r="B897" s="6" t="s">
        <v>359</v>
      </c>
      <c r="C897" s="6" t="s">
        <v>1259</v>
      </c>
      <c r="D897" s="6" t="s">
        <v>1390</v>
      </c>
      <c r="E897" s="6" t="s">
        <v>1391</v>
      </c>
      <c r="F897" s="6" t="s">
        <v>267</v>
      </c>
    </row>
    <row r="898" spans="1:6" ht="30" customHeight="1">
      <c r="A898" s="4" t="s">
        <v>358</v>
      </c>
      <c r="B898" s="4" t="s">
        <v>359</v>
      </c>
      <c r="C898" s="4" t="s">
        <v>1262</v>
      </c>
      <c r="D898" s="4" t="s">
        <v>1390</v>
      </c>
      <c r="E898" s="4" t="s">
        <v>1391</v>
      </c>
      <c r="F898" s="4" t="s">
        <v>267</v>
      </c>
    </row>
    <row r="899" spans="1:6" ht="30" customHeight="1">
      <c r="A899" s="6" t="s">
        <v>358</v>
      </c>
      <c r="B899" s="6" t="s">
        <v>359</v>
      </c>
      <c r="C899" s="6" t="s">
        <v>1263</v>
      </c>
      <c r="D899" s="6" t="s">
        <v>1390</v>
      </c>
      <c r="E899" s="6" t="s">
        <v>1391</v>
      </c>
      <c r="F899" s="6" t="s">
        <v>267</v>
      </c>
    </row>
    <row r="900" spans="1:6" ht="30" customHeight="1">
      <c r="A900" s="4" t="s">
        <v>358</v>
      </c>
      <c r="B900" s="4" t="s">
        <v>359</v>
      </c>
      <c r="C900" s="4" t="s">
        <v>1265</v>
      </c>
      <c r="D900" s="4" t="s">
        <v>1390</v>
      </c>
      <c r="E900" s="4" t="s">
        <v>1391</v>
      </c>
      <c r="F900" s="4" t="s">
        <v>267</v>
      </c>
    </row>
    <row r="901" spans="1:6" ht="30" customHeight="1">
      <c r="A901" s="6" t="s">
        <v>358</v>
      </c>
      <c r="B901" s="6" t="s">
        <v>359</v>
      </c>
      <c r="C901" s="6" t="s">
        <v>1267</v>
      </c>
      <c r="D901" s="6" t="s">
        <v>1390</v>
      </c>
      <c r="E901" s="6" t="s">
        <v>1391</v>
      </c>
      <c r="F901" s="6" t="s">
        <v>267</v>
      </c>
    </row>
    <row r="902" spans="1:6" ht="30" customHeight="1">
      <c r="A902" s="4" t="s">
        <v>358</v>
      </c>
      <c r="B902" s="4" t="s">
        <v>359</v>
      </c>
      <c r="C902" s="4" t="s">
        <v>1269</v>
      </c>
      <c r="D902" s="4" t="s">
        <v>1390</v>
      </c>
      <c r="E902" s="4" t="s">
        <v>1391</v>
      </c>
      <c r="F902" s="4" t="s">
        <v>267</v>
      </c>
    </row>
    <row r="903" spans="1:6" ht="30" customHeight="1">
      <c r="A903" s="6" t="s">
        <v>358</v>
      </c>
      <c r="B903" s="6" t="s">
        <v>359</v>
      </c>
      <c r="C903" s="6" t="s">
        <v>1271</v>
      </c>
      <c r="D903" s="6" t="s">
        <v>1390</v>
      </c>
      <c r="E903" s="6" t="s">
        <v>1391</v>
      </c>
      <c r="F903" s="6" t="s">
        <v>267</v>
      </c>
    </row>
    <row r="904" spans="1:6" ht="30" customHeight="1">
      <c r="A904" s="4" t="s">
        <v>358</v>
      </c>
      <c r="B904" s="4" t="s">
        <v>359</v>
      </c>
      <c r="C904" s="4" t="s">
        <v>1273</v>
      </c>
      <c r="D904" s="4" t="s">
        <v>1390</v>
      </c>
      <c r="E904" s="4" t="s">
        <v>1391</v>
      </c>
      <c r="F904" s="4" t="s">
        <v>267</v>
      </c>
    </row>
    <row r="905" spans="1:6" ht="30" customHeight="1">
      <c r="A905" s="6" t="s">
        <v>358</v>
      </c>
      <c r="B905" s="6" t="s">
        <v>359</v>
      </c>
      <c r="C905" s="6" t="s">
        <v>1275</v>
      </c>
      <c r="D905" s="6" t="s">
        <v>1390</v>
      </c>
      <c r="E905" s="6" t="s">
        <v>1391</v>
      </c>
      <c r="F905" s="6" t="s">
        <v>267</v>
      </c>
    </row>
    <row r="906" spans="1:6" ht="30" customHeight="1">
      <c r="A906" s="4" t="s">
        <v>360</v>
      </c>
      <c r="B906" s="4" t="s">
        <v>361</v>
      </c>
      <c r="C906" s="4" t="s">
        <v>1259</v>
      </c>
      <c r="D906" s="4" t="s">
        <v>1390</v>
      </c>
      <c r="E906" s="4" t="s">
        <v>1391</v>
      </c>
      <c r="F906" s="4" t="s">
        <v>267</v>
      </c>
    </row>
    <row r="907" spans="1:6" ht="30" customHeight="1">
      <c r="A907" s="6" t="s">
        <v>360</v>
      </c>
      <c r="B907" s="6" t="s">
        <v>361</v>
      </c>
      <c r="C907" s="6" t="s">
        <v>1262</v>
      </c>
      <c r="D907" s="6" t="s">
        <v>1390</v>
      </c>
      <c r="E907" s="6" t="s">
        <v>1391</v>
      </c>
      <c r="F907" s="6" t="s">
        <v>267</v>
      </c>
    </row>
    <row r="908" spans="1:6" ht="30" customHeight="1">
      <c r="A908" s="4" t="s">
        <v>360</v>
      </c>
      <c r="B908" s="4" t="s">
        <v>361</v>
      </c>
      <c r="C908" s="4" t="s">
        <v>1263</v>
      </c>
      <c r="D908" s="4" t="s">
        <v>1390</v>
      </c>
      <c r="E908" s="4" t="s">
        <v>1391</v>
      </c>
      <c r="F908" s="4" t="s">
        <v>267</v>
      </c>
    </row>
    <row r="909" spans="1:6" ht="30" customHeight="1">
      <c r="A909" s="6" t="s">
        <v>360</v>
      </c>
      <c r="B909" s="6" t="s">
        <v>361</v>
      </c>
      <c r="C909" s="6" t="s">
        <v>1265</v>
      </c>
      <c r="D909" s="6" t="s">
        <v>1390</v>
      </c>
      <c r="E909" s="6" t="s">
        <v>1391</v>
      </c>
      <c r="F909" s="6" t="s">
        <v>267</v>
      </c>
    </row>
    <row r="910" spans="1:6" ht="30" customHeight="1">
      <c r="A910" s="4" t="s">
        <v>360</v>
      </c>
      <c r="B910" s="4" t="s">
        <v>361</v>
      </c>
      <c r="C910" s="4" t="s">
        <v>1267</v>
      </c>
      <c r="D910" s="4" t="s">
        <v>1390</v>
      </c>
      <c r="E910" s="4" t="s">
        <v>1391</v>
      </c>
      <c r="F910" s="4" t="s">
        <v>267</v>
      </c>
    </row>
    <row r="911" spans="1:6" ht="30" customHeight="1">
      <c r="A911" s="6" t="s">
        <v>360</v>
      </c>
      <c r="B911" s="6" t="s">
        <v>361</v>
      </c>
      <c r="C911" s="6" t="s">
        <v>1269</v>
      </c>
      <c r="D911" s="6" t="s">
        <v>1390</v>
      </c>
      <c r="E911" s="6" t="s">
        <v>1391</v>
      </c>
      <c r="F911" s="6" t="s">
        <v>267</v>
      </c>
    </row>
    <row r="912" spans="1:6" ht="30" customHeight="1">
      <c r="A912" s="4" t="s">
        <v>360</v>
      </c>
      <c r="B912" s="4" t="s">
        <v>361</v>
      </c>
      <c r="C912" s="4" t="s">
        <v>1271</v>
      </c>
      <c r="D912" s="4" t="s">
        <v>1390</v>
      </c>
      <c r="E912" s="4" t="s">
        <v>1391</v>
      </c>
      <c r="F912" s="4" t="s">
        <v>267</v>
      </c>
    </row>
    <row r="913" spans="1:6" ht="30" customHeight="1">
      <c r="A913" s="6" t="s">
        <v>360</v>
      </c>
      <c r="B913" s="6" t="s">
        <v>361</v>
      </c>
      <c r="C913" s="6" t="s">
        <v>1273</v>
      </c>
      <c r="D913" s="6" t="s">
        <v>1390</v>
      </c>
      <c r="E913" s="6" t="s">
        <v>1391</v>
      </c>
      <c r="F913" s="6" t="s">
        <v>267</v>
      </c>
    </row>
    <row r="914" spans="1:6" ht="30" customHeight="1">
      <c r="A914" s="4" t="s">
        <v>360</v>
      </c>
      <c r="B914" s="4" t="s">
        <v>361</v>
      </c>
      <c r="C914" s="4" t="s">
        <v>1275</v>
      </c>
      <c r="D914" s="4" t="s">
        <v>1390</v>
      </c>
      <c r="E914" s="4" t="s">
        <v>1391</v>
      </c>
      <c r="F914" s="4" t="s">
        <v>267</v>
      </c>
    </row>
    <row r="915" spans="1:6" ht="30" customHeight="1">
      <c r="A915" s="6" t="s">
        <v>362</v>
      </c>
      <c r="B915" s="6" t="s">
        <v>363</v>
      </c>
      <c r="C915" s="6" t="s">
        <v>1259</v>
      </c>
      <c r="D915" s="6" t="s">
        <v>1390</v>
      </c>
      <c r="E915" s="6" t="s">
        <v>1391</v>
      </c>
      <c r="F915" s="6" t="s">
        <v>267</v>
      </c>
    </row>
    <row r="916" spans="1:6" ht="30" customHeight="1">
      <c r="A916" s="4" t="s">
        <v>362</v>
      </c>
      <c r="B916" s="4" t="s">
        <v>363</v>
      </c>
      <c r="C916" s="4" t="s">
        <v>1262</v>
      </c>
      <c r="D916" s="4" t="s">
        <v>1390</v>
      </c>
      <c r="E916" s="4" t="s">
        <v>1391</v>
      </c>
      <c r="F916" s="4" t="s">
        <v>267</v>
      </c>
    </row>
    <row r="917" spans="1:6" ht="30" customHeight="1">
      <c r="A917" s="6" t="s">
        <v>362</v>
      </c>
      <c r="B917" s="6" t="s">
        <v>363</v>
      </c>
      <c r="C917" s="6" t="s">
        <v>1263</v>
      </c>
      <c r="D917" s="6" t="s">
        <v>1390</v>
      </c>
      <c r="E917" s="6" t="s">
        <v>1391</v>
      </c>
      <c r="F917" s="6" t="s">
        <v>267</v>
      </c>
    </row>
    <row r="918" spans="1:6" ht="30" customHeight="1">
      <c r="A918" s="4" t="s">
        <v>362</v>
      </c>
      <c r="B918" s="4" t="s">
        <v>363</v>
      </c>
      <c r="C918" s="4" t="s">
        <v>1265</v>
      </c>
      <c r="D918" s="4" t="s">
        <v>1390</v>
      </c>
      <c r="E918" s="4" t="s">
        <v>1391</v>
      </c>
      <c r="F918" s="4" t="s">
        <v>267</v>
      </c>
    </row>
    <row r="919" spans="1:6" ht="30" customHeight="1">
      <c r="A919" s="6" t="s">
        <v>362</v>
      </c>
      <c r="B919" s="6" t="s">
        <v>363</v>
      </c>
      <c r="C919" s="6" t="s">
        <v>1267</v>
      </c>
      <c r="D919" s="6" t="s">
        <v>1390</v>
      </c>
      <c r="E919" s="6" t="s">
        <v>1391</v>
      </c>
      <c r="F919" s="6" t="s">
        <v>267</v>
      </c>
    </row>
    <row r="920" spans="1:6" ht="30" customHeight="1">
      <c r="A920" s="4" t="s">
        <v>362</v>
      </c>
      <c r="B920" s="4" t="s">
        <v>363</v>
      </c>
      <c r="C920" s="4" t="s">
        <v>1269</v>
      </c>
      <c r="D920" s="4" t="s">
        <v>1390</v>
      </c>
      <c r="E920" s="4" t="s">
        <v>1391</v>
      </c>
      <c r="F920" s="4" t="s">
        <v>267</v>
      </c>
    </row>
    <row r="921" spans="1:6" ht="30" customHeight="1">
      <c r="A921" s="6" t="s">
        <v>362</v>
      </c>
      <c r="B921" s="6" t="s">
        <v>363</v>
      </c>
      <c r="C921" s="6" t="s">
        <v>1271</v>
      </c>
      <c r="D921" s="6" t="s">
        <v>1390</v>
      </c>
      <c r="E921" s="6" t="s">
        <v>1391</v>
      </c>
      <c r="F921" s="6" t="s">
        <v>267</v>
      </c>
    </row>
    <row r="922" spans="1:6" ht="30" customHeight="1">
      <c r="A922" s="4" t="s">
        <v>362</v>
      </c>
      <c r="B922" s="4" t="s">
        <v>363</v>
      </c>
      <c r="C922" s="4" t="s">
        <v>1273</v>
      </c>
      <c r="D922" s="4" t="s">
        <v>1390</v>
      </c>
      <c r="E922" s="4" t="s">
        <v>1391</v>
      </c>
      <c r="F922" s="4" t="s">
        <v>267</v>
      </c>
    </row>
    <row r="923" spans="1:6" ht="30" customHeight="1">
      <c r="A923" s="6" t="s">
        <v>362</v>
      </c>
      <c r="B923" s="6" t="s">
        <v>363</v>
      </c>
      <c r="C923" s="6" t="s">
        <v>1275</v>
      </c>
      <c r="D923" s="6" t="s">
        <v>1390</v>
      </c>
      <c r="E923" s="6" t="s">
        <v>1391</v>
      </c>
      <c r="F923" s="6" t="s">
        <v>267</v>
      </c>
    </row>
    <row r="924" spans="1:6" ht="30" customHeight="1">
      <c r="A924" s="4" t="s">
        <v>365</v>
      </c>
      <c r="B924" s="4" t="s">
        <v>366</v>
      </c>
      <c r="C924" s="4" t="s">
        <v>1259</v>
      </c>
      <c r="D924" s="4" t="s">
        <v>1390</v>
      </c>
      <c r="E924" s="4" t="s">
        <v>1391</v>
      </c>
      <c r="F924" s="4" t="s">
        <v>267</v>
      </c>
    </row>
    <row r="925" spans="1:6" ht="30" customHeight="1">
      <c r="A925" s="6" t="s">
        <v>365</v>
      </c>
      <c r="B925" s="6" t="s">
        <v>366</v>
      </c>
      <c r="C925" s="6" t="s">
        <v>1262</v>
      </c>
      <c r="D925" s="6" t="s">
        <v>1390</v>
      </c>
      <c r="E925" s="6" t="s">
        <v>1391</v>
      </c>
      <c r="F925" s="6" t="s">
        <v>267</v>
      </c>
    </row>
    <row r="926" spans="1:6" ht="30" customHeight="1">
      <c r="A926" s="4" t="s">
        <v>365</v>
      </c>
      <c r="B926" s="4" t="s">
        <v>366</v>
      </c>
      <c r="C926" s="4" t="s">
        <v>1263</v>
      </c>
      <c r="D926" s="4" t="s">
        <v>1390</v>
      </c>
      <c r="E926" s="4" t="s">
        <v>1391</v>
      </c>
      <c r="F926" s="4" t="s">
        <v>267</v>
      </c>
    </row>
    <row r="927" spans="1:6" ht="30" customHeight="1">
      <c r="A927" s="6" t="s">
        <v>365</v>
      </c>
      <c r="B927" s="6" t="s">
        <v>366</v>
      </c>
      <c r="C927" s="6" t="s">
        <v>1265</v>
      </c>
      <c r="D927" s="6" t="s">
        <v>1390</v>
      </c>
      <c r="E927" s="6" t="s">
        <v>1391</v>
      </c>
      <c r="F927" s="6" t="s">
        <v>267</v>
      </c>
    </row>
    <row r="928" spans="1:6" ht="30" customHeight="1">
      <c r="A928" s="4" t="s">
        <v>365</v>
      </c>
      <c r="B928" s="4" t="s">
        <v>366</v>
      </c>
      <c r="C928" s="4" t="s">
        <v>1267</v>
      </c>
      <c r="D928" s="4" t="s">
        <v>1390</v>
      </c>
      <c r="E928" s="4" t="s">
        <v>1391</v>
      </c>
      <c r="F928" s="4" t="s">
        <v>267</v>
      </c>
    </row>
    <row r="929" spans="1:6" ht="30" customHeight="1">
      <c r="A929" s="6" t="s">
        <v>365</v>
      </c>
      <c r="B929" s="6" t="s">
        <v>366</v>
      </c>
      <c r="C929" s="6" t="s">
        <v>1269</v>
      </c>
      <c r="D929" s="6" t="s">
        <v>1390</v>
      </c>
      <c r="E929" s="6" t="s">
        <v>1391</v>
      </c>
      <c r="F929" s="6" t="s">
        <v>267</v>
      </c>
    </row>
    <row r="930" spans="1:6" ht="30" customHeight="1">
      <c r="A930" s="4" t="s">
        <v>365</v>
      </c>
      <c r="B930" s="4" t="s">
        <v>366</v>
      </c>
      <c r="C930" s="4" t="s">
        <v>1271</v>
      </c>
      <c r="D930" s="4" t="s">
        <v>1390</v>
      </c>
      <c r="E930" s="4" t="s">
        <v>1391</v>
      </c>
      <c r="F930" s="4" t="s">
        <v>267</v>
      </c>
    </row>
    <row r="931" spans="1:6" ht="30" customHeight="1">
      <c r="A931" s="6" t="s">
        <v>365</v>
      </c>
      <c r="B931" s="6" t="s">
        <v>366</v>
      </c>
      <c r="C931" s="6" t="s">
        <v>1273</v>
      </c>
      <c r="D931" s="6" t="s">
        <v>1390</v>
      </c>
      <c r="E931" s="6" t="s">
        <v>1391</v>
      </c>
      <c r="F931" s="6" t="s">
        <v>267</v>
      </c>
    </row>
    <row r="932" spans="1:6" ht="30" customHeight="1">
      <c r="A932" s="4" t="s">
        <v>365</v>
      </c>
      <c r="B932" s="4" t="s">
        <v>366</v>
      </c>
      <c r="C932" s="4" t="s">
        <v>1275</v>
      </c>
      <c r="D932" s="4" t="s">
        <v>1390</v>
      </c>
      <c r="E932" s="4" t="s">
        <v>1391</v>
      </c>
      <c r="F932" s="4" t="s">
        <v>267</v>
      </c>
    </row>
    <row r="933" spans="1:6" ht="30" customHeight="1">
      <c r="A933" s="6" t="s">
        <v>367</v>
      </c>
      <c r="B933" s="6" t="s">
        <v>368</v>
      </c>
      <c r="C933" s="6" t="s">
        <v>1259</v>
      </c>
      <c r="D933" s="6" t="s">
        <v>1390</v>
      </c>
      <c r="E933" s="6" t="s">
        <v>1391</v>
      </c>
      <c r="F933" s="6" t="s">
        <v>267</v>
      </c>
    </row>
    <row r="934" spans="1:6" ht="30" customHeight="1">
      <c r="A934" s="4" t="s">
        <v>367</v>
      </c>
      <c r="B934" s="4" t="s">
        <v>368</v>
      </c>
      <c r="C934" s="4" t="s">
        <v>1262</v>
      </c>
      <c r="D934" s="4" t="s">
        <v>1390</v>
      </c>
      <c r="E934" s="4" t="s">
        <v>1391</v>
      </c>
      <c r="F934" s="4" t="s">
        <v>267</v>
      </c>
    </row>
    <row r="935" spans="1:6" ht="30" customHeight="1">
      <c r="A935" s="6" t="s">
        <v>367</v>
      </c>
      <c r="B935" s="6" t="s">
        <v>368</v>
      </c>
      <c r="C935" s="6" t="s">
        <v>1263</v>
      </c>
      <c r="D935" s="6" t="s">
        <v>1390</v>
      </c>
      <c r="E935" s="6" t="s">
        <v>1391</v>
      </c>
      <c r="F935" s="6" t="s">
        <v>267</v>
      </c>
    </row>
    <row r="936" spans="1:6" ht="30" customHeight="1">
      <c r="A936" s="4" t="s">
        <v>367</v>
      </c>
      <c r="B936" s="4" t="s">
        <v>368</v>
      </c>
      <c r="C936" s="4" t="s">
        <v>1265</v>
      </c>
      <c r="D936" s="4" t="s">
        <v>1390</v>
      </c>
      <c r="E936" s="4" t="s">
        <v>1391</v>
      </c>
      <c r="F936" s="4" t="s">
        <v>267</v>
      </c>
    </row>
    <row r="937" spans="1:6" ht="30" customHeight="1">
      <c r="A937" s="6" t="s">
        <v>367</v>
      </c>
      <c r="B937" s="6" t="s">
        <v>368</v>
      </c>
      <c r="C937" s="6" t="s">
        <v>1267</v>
      </c>
      <c r="D937" s="6" t="s">
        <v>1390</v>
      </c>
      <c r="E937" s="6" t="s">
        <v>1391</v>
      </c>
      <c r="F937" s="6" t="s">
        <v>267</v>
      </c>
    </row>
    <row r="938" spans="1:6" ht="30" customHeight="1">
      <c r="A938" s="4" t="s">
        <v>367</v>
      </c>
      <c r="B938" s="4" t="s">
        <v>368</v>
      </c>
      <c r="C938" s="4" t="s">
        <v>1269</v>
      </c>
      <c r="D938" s="4" t="s">
        <v>1390</v>
      </c>
      <c r="E938" s="4" t="s">
        <v>1391</v>
      </c>
      <c r="F938" s="4" t="s">
        <v>267</v>
      </c>
    </row>
    <row r="939" spans="1:6" ht="30" customHeight="1">
      <c r="A939" s="6" t="s">
        <v>367</v>
      </c>
      <c r="B939" s="6" t="s">
        <v>368</v>
      </c>
      <c r="C939" s="6" t="s">
        <v>1271</v>
      </c>
      <c r="D939" s="6" t="s">
        <v>1390</v>
      </c>
      <c r="E939" s="6" t="s">
        <v>1391</v>
      </c>
      <c r="F939" s="6" t="s">
        <v>267</v>
      </c>
    </row>
    <row r="940" spans="1:6" ht="30" customHeight="1">
      <c r="A940" s="4" t="s">
        <v>367</v>
      </c>
      <c r="B940" s="4" t="s">
        <v>368</v>
      </c>
      <c r="C940" s="4" t="s">
        <v>1273</v>
      </c>
      <c r="D940" s="4" t="s">
        <v>1390</v>
      </c>
      <c r="E940" s="4" t="s">
        <v>1391</v>
      </c>
      <c r="F940" s="4" t="s">
        <v>267</v>
      </c>
    </row>
    <row r="941" spans="1:6" ht="30" customHeight="1">
      <c r="A941" s="6" t="s">
        <v>367</v>
      </c>
      <c r="B941" s="6" t="s">
        <v>368</v>
      </c>
      <c r="C941" s="6" t="s">
        <v>1275</v>
      </c>
      <c r="D941" s="6" t="s">
        <v>1390</v>
      </c>
      <c r="E941" s="6" t="s">
        <v>1391</v>
      </c>
      <c r="F941" s="6" t="s">
        <v>267</v>
      </c>
    </row>
    <row r="942" spans="1:6" ht="30" customHeight="1">
      <c r="A942" s="4" t="s">
        <v>369</v>
      </c>
      <c r="B942" s="4" t="s">
        <v>370</v>
      </c>
      <c r="C942" s="4" t="s">
        <v>1259</v>
      </c>
      <c r="D942" s="4" t="s">
        <v>1390</v>
      </c>
      <c r="E942" s="4" t="s">
        <v>1391</v>
      </c>
      <c r="F942" s="4" t="s">
        <v>267</v>
      </c>
    </row>
    <row r="943" spans="1:6" ht="30" customHeight="1">
      <c r="A943" s="6" t="s">
        <v>369</v>
      </c>
      <c r="B943" s="6" t="s">
        <v>370</v>
      </c>
      <c r="C943" s="6" t="s">
        <v>1262</v>
      </c>
      <c r="D943" s="6" t="s">
        <v>1390</v>
      </c>
      <c r="E943" s="6" t="s">
        <v>1391</v>
      </c>
      <c r="F943" s="6" t="s">
        <v>267</v>
      </c>
    </row>
    <row r="944" spans="1:6" ht="30" customHeight="1">
      <c r="A944" s="4" t="s">
        <v>369</v>
      </c>
      <c r="B944" s="4" t="s">
        <v>370</v>
      </c>
      <c r="C944" s="4" t="s">
        <v>1263</v>
      </c>
      <c r="D944" s="4" t="s">
        <v>1390</v>
      </c>
      <c r="E944" s="4" t="s">
        <v>1391</v>
      </c>
      <c r="F944" s="4" t="s">
        <v>267</v>
      </c>
    </row>
    <row r="945" spans="1:6" ht="30" customHeight="1">
      <c r="A945" s="6" t="s">
        <v>369</v>
      </c>
      <c r="B945" s="6" t="s">
        <v>370</v>
      </c>
      <c r="C945" s="6" t="s">
        <v>1265</v>
      </c>
      <c r="D945" s="6" t="s">
        <v>1390</v>
      </c>
      <c r="E945" s="6" t="s">
        <v>1391</v>
      </c>
      <c r="F945" s="6" t="s">
        <v>267</v>
      </c>
    </row>
    <row r="946" spans="1:6" ht="30" customHeight="1">
      <c r="A946" s="4" t="s">
        <v>369</v>
      </c>
      <c r="B946" s="4" t="s">
        <v>370</v>
      </c>
      <c r="C946" s="4" t="s">
        <v>1267</v>
      </c>
      <c r="D946" s="4" t="s">
        <v>1390</v>
      </c>
      <c r="E946" s="4" t="s">
        <v>1391</v>
      </c>
      <c r="F946" s="4" t="s">
        <v>267</v>
      </c>
    </row>
    <row r="947" spans="1:6" ht="30" customHeight="1">
      <c r="A947" s="6" t="s">
        <v>369</v>
      </c>
      <c r="B947" s="6" t="s">
        <v>370</v>
      </c>
      <c r="C947" s="6" t="s">
        <v>1269</v>
      </c>
      <c r="D947" s="6" t="s">
        <v>1390</v>
      </c>
      <c r="E947" s="6" t="s">
        <v>1391</v>
      </c>
      <c r="F947" s="6" t="s">
        <v>267</v>
      </c>
    </row>
    <row r="948" spans="1:6" ht="30" customHeight="1">
      <c r="A948" s="4" t="s">
        <v>369</v>
      </c>
      <c r="B948" s="4" t="s">
        <v>370</v>
      </c>
      <c r="C948" s="4" t="s">
        <v>1271</v>
      </c>
      <c r="D948" s="4" t="s">
        <v>1390</v>
      </c>
      <c r="E948" s="4" t="s">
        <v>1391</v>
      </c>
      <c r="F948" s="4" t="s">
        <v>267</v>
      </c>
    </row>
    <row r="949" spans="1:6" ht="30" customHeight="1">
      <c r="A949" s="6" t="s">
        <v>369</v>
      </c>
      <c r="B949" s="6" t="s">
        <v>370</v>
      </c>
      <c r="C949" s="6" t="s">
        <v>1273</v>
      </c>
      <c r="D949" s="6" t="s">
        <v>1390</v>
      </c>
      <c r="E949" s="6" t="s">
        <v>1391</v>
      </c>
      <c r="F949" s="6" t="s">
        <v>267</v>
      </c>
    </row>
    <row r="950" spans="1:6" ht="30" customHeight="1">
      <c r="A950" s="4" t="s">
        <v>369</v>
      </c>
      <c r="B950" s="4" t="s">
        <v>370</v>
      </c>
      <c r="C950" s="4" t="s">
        <v>1275</v>
      </c>
      <c r="D950" s="4" t="s">
        <v>1390</v>
      </c>
      <c r="E950" s="4" t="s">
        <v>1391</v>
      </c>
      <c r="F950" s="4" t="s">
        <v>267</v>
      </c>
    </row>
    <row r="951" spans="1:6" ht="30" customHeight="1">
      <c r="A951" s="6" t="s">
        <v>371</v>
      </c>
      <c r="B951" s="6" t="s">
        <v>372</v>
      </c>
      <c r="C951" s="6" t="s">
        <v>1259</v>
      </c>
      <c r="D951" s="6" t="s">
        <v>1390</v>
      </c>
      <c r="E951" s="6" t="s">
        <v>1391</v>
      </c>
      <c r="F951" s="6" t="s">
        <v>267</v>
      </c>
    </row>
    <row r="952" spans="1:6" ht="30" customHeight="1">
      <c r="A952" s="4" t="s">
        <v>371</v>
      </c>
      <c r="B952" s="4" t="s">
        <v>372</v>
      </c>
      <c r="C952" s="4" t="s">
        <v>1262</v>
      </c>
      <c r="D952" s="4" t="s">
        <v>1390</v>
      </c>
      <c r="E952" s="4" t="s">
        <v>1391</v>
      </c>
      <c r="F952" s="4" t="s">
        <v>267</v>
      </c>
    </row>
    <row r="953" spans="1:6" ht="30" customHeight="1">
      <c r="A953" s="6" t="s">
        <v>371</v>
      </c>
      <c r="B953" s="6" t="s">
        <v>372</v>
      </c>
      <c r="C953" s="6" t="s">
        <v>1263</v>
      </c>
      <c r="D953" s="6" t="s">
        <v>1390</v>
      </c>
      <c r="E953" s="6" t="s">
        <v>1391</v>
      </c>
      <c r="F953" s="6" t="s">
        <v>267</v>
      </c>
    </row>
    <row r="954" spans="1:6" ht="30" customHeight="1">
      <c r="A954" s="4" t="s">
        <v>371</v>
      </c>
      <c r="B954" s="4" t="s">
        <v>372</v>
      </c>
      <c r="C954" s="4" t="s">
        <v>1265</v>
      </c>
      <c r="D954" s="4" t="s">
        <v>1390</v>
      </c>
      <c r="E954" s="4" t="s">
        <v>1391</v>
      </c>
      <c r="F954" s="4" t="s">
        <v>267</v>
      </c>
    </row>
    <row r="955" spans="1:6" ht="30" customHeight="1">
      <c r="A955" s="6" t="s">
        <v>371</v>
      </c>
      <c r="B955" s="6" t="s">
        <v>372</v>
      </c>
      <c r="C955" s="6" t="s">
        <v>1267</v>
      </c>
      <c r="D955" s="6" t="s">
        <v>1390</v>
      </c>
      <c r="E955" s="6" t="s">
        <v>1391</v>
      </c>
      <c r="F955" s="6" t="s">
        <v>267</v>
      </c>
    </row>
    <row r="956" spans="1:6" ht="30" customHeight="1">
      <c r="A956" s="4" t="s">
        <v>371</v>
      </c>
      <c r="B956" s="4" t="s">
        <v>372</v>
      </c>
      <c r="C956" s="4" t="s">
        <v>1269</v>
      </c>
      <c r="D956" s="4" t="s">
        <v>1390</v>
      </c>
      <c r="E956" s="4" t="s">
        <v>1391</v>
      </c>
      <c r="F956" s="4" t="s">
        <v>267</v>
      </c>
    </row>
    <row r="957" spans="1:6" ht="30" customHeight="1">
      <c r="A957" s="6" t="s">
        <v>371</v>
      </c>
      <c r="B957" s="6" t="s">
        <v>372</v>
      </c>
      <c r="C957" s="6" t="s">
        <v>1271</v>
      </c>
      <c r="D957" s="6" t="s">
        <v>1390</v>
      </c>
      <c r="E957" s="6" t="s">
        <v>1391</v>
      </c>
      <c r="F957" s="6" t="s">
        <v>267</v>
      </c>
    </row>
    <row r="958" spans="1:6" ht="30" customHeight="1">
      <c r="A958" s="4" t="s">
        <v>371</v>
      </c>
      <c r="B958" s="4" t="s">
        <v>372</v>
      </c>
      <c r="C958" s="4" t="s">
        <v>1273</v>
      </c>
      <c r="D958" s="4" t="s">
        <v>1390</v>
      </c>
      <c r="E958" s="4" t="s">
        <v>1391</v>
      </c>
      <c r="F958" s="4" t="s">
        <v>267</v>
      </c>
    </row>
    <row r="959" spans="1:6" ht="30" customHeight="1">
      <c r="A959" s="6" t="s">
        <v>371</v>
      </c>
      <c r="B959" s="6" t="s">
        <v>372</v>
      </c>
      <c r="C959" s="6" t="s">
        <v>1275</v>
      </c>
      <c r="D959" s="6" t="s">
        <v>1390</v>
      </c>
      <c r="E959" s="6" t="s">
        <v>1391</v>
      </c>
      <c r="F959" s="6" t="s">
        <v>267</v>
      </c>
    </row>
    <row r="960" spans="1:6" ht="30" customHeight="1">
      <c r="A960" s="4" t="s">
        <v>373</v>
      </c>
      <c r="B960" s="4" t="s">
        <v>374</v>
      </c>
      <c r="C960" s="4" t="s">
        <v>1259</v>
      </c>
      <c r="D960" s="4" t="s">
        <v>1390</v>
      </c>
      <c r="E960" s="4" t="s">
        <v>1391</v>
      </c>
      <c r="F960" s="4" t="s">
        <v>267</v>
      </c>
    </row>
    <row r="961" spans="1:6" ht="30" customHeight="1">
      <c r="A961" s="6" t="s">
        <v>373</v>
      </c>
      <c r="B961" s="6" t="s">
        <v>374</v>
      </c>
      <c r="C961" s="6" t="s">
        <v>1262</v>
      </c>
      <c r="D961" s="6" t="s">
        <v>1390</v>
      </c>
      <c r="E961" s="6" t="s">
        <v>1391</v>
      </c>
      <c r="F961" s="6" t="s">
        <v>267</v>
      </c>
    </row>
    <row r="962" spans="1:6" ht="30" customHeight="1">
      <c r="A962" s="4" t="s">
        <v>373</v>
      </c>
      <c r="B962" s="4" t="s">
        <v>374</v>
      </c>
      <c r="C962" s="4" t="s">
        <v>1263</v>
      </c>
      <c r="D962" s="4" t="s">
        <v>1390</v>
      </c>
      <c r="E962" s="4" t="s">
        <v>1391</v>
      </c>
      <c r="F962" s="4" t="s">
        <v>267</v>
      </c>
    </row>
    <row r="963" spans="1:6" ht="30" customHeight="1">
      <c r="A963" s="6" t="s">
        <v>373</v>
      </c>
      <c r="B963" s="6" t="s">
        <v>374</v>
      </c>
      <c r="C963" s="6" t="s">
        <v>1265</v>
      </c>
      <c r="D963" s="6" t="s">
        <v>1390</v>
      </c>
      <c r="E963" s="6" t="s">
        <v>1391</v>
      </c>
      <c r="F963" s="6" t="s">
        <v>267</v>
      </c>
    </row>
    <row r="964" spans="1:6" ht="30" customHeight="1">
      <c r="A964" s="4" t="s">
        <v>373</v>
      </c>
      <c r="B964" s="4" t="s">
        <v>374</v>
      </c>
      <c r="C964" s="4" t="s">
        <v>1267</v>
      </c>
      <c r="D964" s="4" t="s">
        <v>1390</v>
      </c>
      <c r="E964" s="4" t="s">
        <v>1391</v>
      </c>
      <c r="F964" s="4" t="s">
        <v>267</v>
      </c>
    </row>
    <row r="965" spans="1:6" ht="30" customHeight="1">
      <c r="A965" s="6" t="s">
        <v>373</v>
      </c>
      <c r="B965" s="6" t="s">
        <v>374</v>
      </c>
      <c r="C965" s="6" t="s">
        <v>1269</v>
      </c>
      <c r="D965" s="6" t="s">
        <v>1390</v>
      </c>
      <c r="E965" s="6" t="s">
        <v>1391</v>
      </c>
      <c r="F965" s="6" t="s">
        <v>267</v>
      </c>
    </row>
    <row r="966" spans="1:6" ht="30" customHeight="1">
      <c r="A966" s="4" t="s">
        <v>373</v>
      </c>
      <c r="B966" s="4" t="s">
        <v>374</v>
      </c>
      <c r="C966" s="4" t="s">
        <v>1271</v>
      </c>
      <c r="D966" s="4" t="s">
        <v>1390</v>
      </c>
      <c r="E966" s="4" t="s">
        <v>1391</v>
      </c>
      <c r="F966" s="4" t="s">
        <v>267</v>
      </c>
    </row>
    <row r="967" spans="1:6" ht="30" customHeight="1">
      <c r="A967" s="6" t="s">
        <v>373</v>
      </c>
      <c r="B967" s="6" t="s">
        <v>374</v>
      </c>
      <c r="C967" s="6" t="s">
        <v>1273</v>
      </c>
      <c r="D967" s="6" t="s">
        <v>1390</v>
      </c>
      <c r="E967" s="6" t="s">
        <v>1391</v>
      </c>
      <c r="F967" s="6" t="s">
        <v>267</v>
      </c>
    </row>
    <row r="968" spans="1:6" ht="30" customHeight="1">
      <c r="A968" s="4" t="s">
        <v>373</v>
      </c>
      <c r="B968" s="4" t="s">
        <v>374</v>
      </c>
      <c r="C968" s="4" t="s">
        <v>1275</v>
      </c>
      <c r="D968" s="4" t="s">
        <v>1390</v>
      </c>
      <c r="E968" s="4" t="s">
        <v>1391</v>
      </c>
      <c r="F968" s="4" t="s">
        <v>267</v>
      </c>
    </row>
    <row r="969" spans="1:6" ht="30" customHeight="1">
      <c r="A969" s="6" t="s">
        <v>375</v>
      </c>
      <c r="B969" s="6" t="s">
        <v>376</v>
      </c>
      <c r="C969" s="6" t="s">
        <v>1259</v>
      </c>
      <c r="D969" s="6" t="s">
        <v>1390</v>
      </c>
      <c r="E969" s="6" t="s">
        <v>1391</v>
      </c>
      <c r="F969" s="6" t="s">
        <v>267</v>
      </c>
    </row>
    <row r="970" spans="1:6" ht="30" customHeight="1">
      <c r="A970" s="4" t="s">
        <v>375</v>
      </c>
      <c r="B970" s="4" t="s">
        <v>376</v>
      </c>
      <c r="C970" s="4" t="s">
        <v>1262</v>
      </c>
      <c r="D970" s="4" t="s">
        <v>1390</v>
      </c>
      <c r="E970" s="4" t="s">
        <v>1391</v>
      </c>
      <c r="F970" s="4" t="s">
        <v>267</v>
      </c>
    </row>
    <row r="971" spans="1:6" ht="30" customHeight="1">
      <c r="A971" s="6" t="s">
        <v>375</v>
      </c>
      <c r="B971" s="6" t="s">
        <v>376</v>
      </c>
      <c r="C971" s="6" t="s">
        <v>1263</v>
      </c>
      <c r="D971" s="6" t="s">
        <v>1390</v>
      </c>
      <c r="E971" s="6" t="s">
        <v>1391</v>
      </c>
      <c r="F971" s="6" t="s">
        <v>267</v>
      </c>
    </row>
    <row r="972" spans="1:6" ht="30" customHeight="1">
      <c r="A972" s="4" t="s">
        <v>375</v>
      </c>
      <c r="B972" s="4" t="s">
        <v>376</v>
      </c>
      <c r="C972" s="4" t="s">
        <v>1265</v>
      </c>
      <c r="D972" s="4" t="s">
        <v>1390</v>
      </c>
      <c r="E972" s="4" t="s">
        <v>1391</v>
      </c>
      <c r="F972" s="4" t="s">
        <v>267</v>
      </c>
    </row>
    <row r="973" spans="1:6" ht="30" customHeight="1">
      <c r="A973" s="6" t="s">
        <v>375</v>
      </c>
      <c r="B973" s="6" t="s">
        <v>376</v>
      </c>
      <c r="C973" s="6" t="s">
        <v>1267</v>
      </c>
      <c r="D973" s="6" t="s">
        <v>1390</v>
      </c>
      <c r="E973" s="6" t="s">
        <v>1391</v>
      </c>
      <c r="F973" s="6" t="s">
        <v>267</v>
      </c>
    </row>
    <row r="974" spans="1:6" ht="30" customHeight="1">
      <c r="A974" s="4" t="s">
        <v>375</v>
      </c>
      <c r="B974" s="4" t="s">
        <v>376</v>
      </c>
      <c r="C974" s="4" t="s">
        <v>1269</v>
      </c>
      <c r="D974" s="4" t="s">
        <v>1390</v>
      </c>
      <c r="E974" s="4" t="s">
        <v>1391</v>
      </c>
      <c r="F974" s="4" t="s">
        <v>267</v>
      </c>
    </row>
    <row r="975" spans="1:6" ht="30" customHeight="1">
      <c r="A975" s="6" t="s">
        <v>375</v>
      </c>
      <c r="B975" s="6" t="s">
        <v>376</v>
      </c>
      <c r="C975" s="6" t="s">
        <v>1271</v>
      </c>
      <c r="D975" s="6" t="s">
        <v>1390</v>
      </c>
      <c r="E975" s="6" t="s">
        <v>1391</v>
      </c>
      <c r="F975" s="6" t="s">
        <v>267</v>
      </c>
    </row>
    <row r="976" spans="1:6" ht="30" customHeight="1">
      <c r="A976" s="4" t="s">
        <v>375</v>
      </c>
      <c r="B976" s="4" t="s">
        <v>376</v>
      </c>
      <c r="C976" s="4" t="s">
        <v>1273</v>
      </c>
      <c r="D976" s="4" t="s">
        <v>1390</v>
      </c>
      <c r="E976" s="4" t="s">
        <v>1391</v>
      </c>
      <c r="F976" s="4" t="s">
        <v>267</v>
      </c>
    </row>
    <row r="977" spans="1:6" ht="30" customHeight="1">
      <c r="A977" s="6" t="s">
        <v>375</v>
      </c>
      <c r="B977" s="6" t="s">
        <v>376</v>
      </c>
      <c r="C977" s="6" t="s">
        <v>1275</v>
      </c>
      <c r="D977" s="6" t="s">
        <v>1390</v>
      </c>
      <c r="E977" s="6" t="s">
        <v>1391</v>
      </c>
      <c r="F977" s="6" t="s">
        <v>267</v>
      </c>
    </row>
    <row r="978" spans="1:6" ht="30" customHeight="1">
      <c r="A978" s="4" t="s">
        <v>377</v>
      </c>
      <c r="B978" s="4" t="s">
        <v>378</v>
      </c>
      <c r="C978" s="4" t="s">
        <v>1259</v>
      </c>
      <c r="D978" s="4" t="s">
        <v>1390</v>
      </c>
      <c r="E978" s="4" t="s">
        <v>1391</v>
      </c>
      <c r="F978" s="4" t="s">
        <v>267</v>
      </c>
    </row>
    <row r="979" spans="1:6" ht="30" customHeight="1">
      <c r="A979" s="6" t="s">
        <v>377</v>
      </c>
      <c r="B979" s="6" t="s">
        <v>378</v>
      </c>
      <c r="C979" s="6" t="s">
        <v>1262</v>
      </c>
      <c r="D979" s="6" t="s">
        <v>1390</v>
      </c>
      <c r="E979" s="6" t="s">
        <v>1391</v>
      </c>
      <c r="F979" s="6" t="s">
        <v>267</v>
      </c>
    </row>
    <row r="980" spans="1:6" ht="30" customHeight="1">
      <c r="A980" s="4" t="s">
        <v>377</v>
      </c>
      <c r="B980" s="4" t="s">
        <v>378</v>
      </c>
      <c r="C980" s="4" t="s">
        <v>1263</v>
      </c>
      <c r="D980" s="4" t="s">
        <v>1390</v>
      </c>
      <c r="E980" s="4" t="s">
        <v>1391</v>
      </c>
      <c r="F980" s="4" t="s">
        <v>267</v>
      </c>
    </row>
    <row r="981" spans="1:6" ht="30" customHeight="1">
      <c r="A981" s="6" t="s">
        <v>377</v>
      </c>
      <c r="B981" s="6" t="s">
        <v>378</v>
      </c>
      <c r="C981" s="6" t="s">
        <v>1265</v>
      </c>
      <c r="D981" s="6" t="s">
        <v>1390</v>
      </c>
      <c r="E981" s="6" t="s">
        <v>1391</v>
      </c>
      <c r="F981" s="6" t="s">
        <v>267</v>
      </c>
    </row>
    <row r="982" spans="1:6" ht="30" customHeight="1">
      <c r="A982" s="4" t="s">
        <v>377</v>
      </c>
      <c r="B982" s="4" t="s">
        <v>378</v>
      </c>
      <c r="C982" s="4" t="s">
        <v>1267</v>
      </c>
      <c r="D982" s="4" t="s">
        <v>1390</v>
      </c>
      <c r="E982" s="4" t="s">
        <v>1391</v>
      </c>
      <c r="F982" s="4" t="s">
        <v>267</v>
      </c>
    </row>
    <row r="983" spans="1:6" ht="30" customHeight="1">
      <c r="A983" s="6" t="s">
        <v>377</v>
      </c>
      <c r="B983" s="6" t="s">
        <v>378</v>
      </c>
      <c r="C983" s="6" t="s">
        <v>1269</v>
      </c>
      <c r="D983" s="6" t="s">
        <v>1390</v>
      </c>
      <c r="E983" s="6" t="s">
        <v>1391</v>
      </c>
      <c r="F983" s="6" t="s">
        <v>267</v>
      </c>
    </row>
    <row r="984" spans="1:6" ht="30" customHeight="1">
      <c r="A984" s="4" t="s">
        <v>377</v>
      </c>
      <c r="B984" s="4" t="s">
        <v>378</v>
      </c>
      <c r="C984" s="4" t="s">
        <v>1271</v>
      </c>
      <c r="D984" s="4" t="s">
        <v>1390</v>
      </c>
      <c r="E984" s="4" t="s">
        <v>1391</v>
      </c>
      <c r="F984" s="4" t="s">
        <v>267</v>
      </c>
    </row>
    <row r="985" spans="1:6" ht="30" customHeight="1">
      <c r="A985" s="6" t="s">
        <v>377</v>
      </c>
      <c r="B985" s="6" t="s">
        <v>378</v>
      </c>
      <c r="C985" s="6" t="s">
        <v>1273</v>
      </c>
      <c r="D985" s="6" t="s">
        <v>1390</v>
      </c>
      <c r="E985" s="6" t="s">
        <v>1391</v>
      </c>
      <c r="F985" s="6" t="s">
        <v>267</v>
      </c>
    </row>
    <row r="986" spans="1:6" ht="30" customHeight="1">
      <c r="A986" s="4" t="s">
        <v>377</v>
      </c>
      <c r="B986" s="4" t="s">
        <v>378</v>
      </c>
      <c r="C986" s="4" t="s">
        <v>1275</v>
      </c>
      <c r="D986" s="4" t="s">
        <v>1390</v>
      </c>
      <c r="E986" s="4" t="s">
        <v>1391</v>
      </c>
      <c r="F986" s="4" t="s">
        <v>267</v>
      </c>
    </row>
    <row r="987" spans="1:6" ht="30" customHeight="1">
      <c r="A987" s="6" t="s">
        <v>379</v>
      </c>
      <c r="B987" s="6" t="s">
        <v>380</v>
      </c>
      <c r="C987" s="6" t="s">
        <v>1259</v>
      </c>
      <c r="D987" s="6" t="s">
        <v>1390</v>
      </c>
      <c r="E987" s="6" t="s">
        <v>1391</v>
      </c>
      <c r="F987" s="6" t="s">
        <v>267</v>
      </c>
    </row>
    <row r="988" spans="1:6" ht="30" customHeight="1">
      <c r="A988" s="4" t="s">
        <v>379</v>
      </c>
      <c r="B988" s="4" t="s">
        <v>380</v>
      </c>
      <c r="C988" s="4" t="s">
        <v>1262</v>
      </c>
      <c r="D988" s="4" t="s">
        <v>1390</v>
      </c>
      <c r="E988" s="4" t="s">
        <v>1391</v>
      </c>
      <c r="F988" s="4" t="s">
        <v>267</v>
      </c>
    </row>
    <row r="989" spans="1:6" ht="30" customHeight="1">
      <c r="A989" s="6" t="s">
        <v>379</v>
      </c>
      <c r="B989" s="6" t="s">
        <v>380</v>
      </c>
      <c r="C989" s="6" t="s">
        <v>1263</v>
      </c>
      <c r="D989" s="6" t="s">
        <v>1390</v>
      </c>
      <c r="E989" s="6" t="s">
        <v>1391</v>
      </c>
      <c r="F989" s="6" t="s">
        <v>267</v>
      </c>
    </row>
    <row r="990" spans="1:6" ht="30" customHeight="1">
      <c r="A990" s="4" t="s">
        <v>379</v>
      </c>
      <c r="B990" s="4" t="s">
        <v>380</v>
      </c>
      <c r="C990" s="4" t="s">
        <v>1265</v>
      </c>
      <c r="D990" s="4" t="s">
        <v>1390</v>
      </c>
      <c r="E990" s="4" t="s">
        <v>1391</v>
      </c>
      <c r="F990" s="4" t="s">
        <v>267</v>
      </c>
    </row>
    <row r="991" spans="1:6" ht="30" customHeight="1">
      <c r="A991" s="6" t="s">
        <v>379</v>
      </c>
      <c r="B991" s="6" t="s">
        <v>380</v>
      </c>
      <c r="C991" s="6" t="s">
        <v>1267</v>
      </c>
      <c r="D991" s="6" t="s">
        <v>1390</v>
      </c>
      <c r="E991" s="6" t="s">
        <v>1391</v>
      </c>
      <c r="F991" s="6" t="s">
        <v>267</v>
      </c>
    </row>
    <row r="992" spans="1:6" ht="30" customHeight="1">
      <c r="A992" s="4" t="s">
        <v>379</v>
      </c>
      <c r="B992" s="4" t="s">
        <v>380</v>
      </c>
      <c r="C992" s="4" t="s">
        <v>1269</v>
      </c>
      <c r="D992" s="4" t="s">
        <v>1390</v>
      </c>
      <c r="E992" s="4" t="s">
        <v>1391</v>
      </c>
      <c r="F992" s="4" t="s">
        <v>267</v>
      </c>
    </row>
    <row r="993" spans="1:6" ht="30" customHeight="1">
      <c r="A993" s="6" t="s">
        <v>379</v>
      </c>
      <c r="B993" s="6" t="s">
        <v>380</v>
      </c>
      <c r="C993" s="6" t="s">
        <v>1271</v>
      </c>
      <c r="D993" s="6" t="s">
        <v>1390</v>
      </c>
      <c r="E993" s="6" t="s">
        <v>1391</v>
      </c>
      <c r="F993" s="6" t="s">
        <v>267</v>
      </c>
    </row>
    <row r="994" spans="1:6" ht="30" customHeight="1">
      <c r="A994" s="4" t="s">
        <v>379</v>
      </c>
      <c r="B994" s="4" t="s">
        <v>380</v>
      </c>
      <c r="C994" s="4" t="s">
        <v>1273</v>
      </c>
      <c r="D994" s="4" t="s">
        <v>1390</v>
      </c>
      <c r="E994" s="4" t="s">
        <v>1391</v>
      </c>
      <c r="F994" s="4" t="s">
        <v>267</v>
      </c>
    </row>
    <row r="995" spans="1:6" ht="30" customHeight="1">
      <c r="A995" s="6" t="s">
        <v>379</v>
      </c>
      <c r="B995" s="6" t="s">
        <v>380</v>
      </c>
      <c r="C995" s="6" t="s">
        <v>1275</v>
      </c>
      <c r="D995" s="6" t="s">
        <v>1390</v>
      </c>
      <c r="E995" s="6" t="s">
        <v>1391</v>
      </c>
      <c r="F995" s="6" t="s">
        <v>267</v>
      </c>
    </row>
    <row r="996" spans="1:6" ht="38" customHeight="1">
      <c r="A996" s="4" t="s">
        <v>381</v>
      </c>
      <c r="B996" s="4" t="s">
        <v>382</v>
      </c>
      <c r="C996" s="4" t="s">
        <v>1259</v>
      </c>
      <c r="D996" s="4" t="s">
        <v>1390</v>
      </c>
      <c r="E996" s="4" t="s">
        <v>1391</v>
      </c>
      <c r="F996" s="4" t="s">
        <v>267</v>
      </c>
    </row>
    <row r="997" spans="1:6" ht="38" customHeight="1">
      <c r="A997" s="6" t="s">
        <v>381</v>
      </c>
      <c r="B997" s="6" t="s">
        <v>382</v>
      </c>
      <c r="C997" s="6" t="s">
        <v>1262</v>
      </c>
      <c r="D997" s="6" t="s">
        <v>1390</v>
      </c>
      <c r="E997" s="6" t="s">
        <v>1391</v>
      </c>
      <c r="F997" s="6" t="s">
        <v>267</v>
      </c>
    </row>
    <row r="998" spans="1:6" ht="38" customHeight="1">
      <c r="A998" s="4" t="s">
        <v>381</v>
      </c>
      <c r="B998" s="4" t="s">
        <v>382</v>
      </c>
      <c r="C998" s="4" t="s">
        <v>1263</v>
      </c>
      <c r="D998" s="4" t="s">
        <v>1390</v>
      </c>
      <c r="E998" s="4" t="s">
        <v>1391</v>
      </c>
      <c r="F998" s="4" t="s">
        <v>267</v>
      </c>
    </row>
    <row r="999" spans="1:6" ht="38" customHeight="1">
      <c r="A999" s="6" t="s">
        <v>381</v>
      </c>
      <c r="B999" s="6" t="s">
        <v>382</v>
      </c>
      <c r="C999" s="6" t="s">
        <v>1265</v>
      </c>
      <c r="D999" s="6" t="s">
        <v>1390</v>
      </c>
      <c r="E999" s="6" t="s">
        <v>1391</v>
      </c>
      <c r="F999" s="6" t="s">
        <v>267</v>
      </c>
    </row>
    <row r="1000" spans="1:6" ht="38" customHeight="1">
      <c r="A1000" s="4" t="s">
        <v>381</v>
      </c>
      <c r="B1000" s="4" t="s">
        <v>382</v>
      </c>
      <c r="C1000" s="4" t="s">
        <v>1267</v>
      </c>
      <c r="D1000" s="4" t="s">
        <v>1390</v>
      </c>
      <c r="E1000" s="4" t="s">
        <v>1391</v>
      </c>
      <c r="F1000" s="4" t="s">
        <v>267</v>
      </c>
    </row>
    <row r="1001" spans="1:6" ht="38" customHeight="1">
      <c r="A1001" s="6" t="s">
        <v>381</v>
      </c>
      <c r="B1001" s="6" t="s">
        <v>382</v>
      </c>
      <c r="C1001" s="6" t="s">
        <v>1269</v>
      </c>
      <c r="D1001" s="6" t="s">
        <v>1390</v>
      </c>
      <c r="E1001" s="6" t="s">
        <v>1391</v>
      </c>
      <c r="F1001" s="6" t="s">
        <v>267</v>
      </c>
    </row>
    <row r="1002" spans="1:6" ht="38" customHeight="1">
      <c r="A1002" s="4" t="s">
        <v>381</v>
      </c>
      <c r="B1002" s="4" t="s">
        <v>382</v>
      </c>
      <c r="C1002" s="4" t="s">
        <v>1271</v>
      </c>
      <c r="D1002" s="4" t="s">
        <v>1390</v>
      </c>
      <c r="E1002" s="4" t="s">
        <v>1391</v>
      </c>
      <c r="F1002" s="4" t="s">
        <v>267</v>
      </c>
    </row>
    <row r="1003" spans="1:6" ht="38" customHeight="1">
      <c r="A1003" s="6" t="s">
        <v>381</v>
      </c>
      <c r="B1003" s="6" t="s">
        <v>382</v>
      </c>
      <c r="C1003" s="6" t="s">
        <v>1273</v>
      </c>
      <c r="D1003" s="6" t="s">
        <v>1390</v>
      </c>
      <c r="E1003" s="6" t="s">
        <v>1391</v>
      </c>
      <c r="F1003" s="6" t="s">
        <v>267</v>
      </c>
    </row>
    <row r="1004" spans="1:6" ht="38" customHeight="1">
      <c r="A1004" s="4" t="s">
        <v>381</v>
      </c>
      <c r="B1004" s="4" t="s">
        <v>382</v>
      </c>
      <c r="C1004" s="4" t="s">
        <v>1275</v>
      </c>
      <c r="D1004" s="4" t="s">
        <v>1390</v>
      </c>
      <c r="E1004" s="4" t="s">
        <v>1391</v>
      </c>
      <c r="F1004" s="4" t="s">
        <v>267</v>
      </c>
    </row>
    <row r="1005" spans="1:6" ht="30" customHeight="1">
      <c r="A1005" s="6" t="s">
        <v>384</v>
      </c>
      <c r="B1005" s="6" t="s">
        <v>385</v>
      </c>
      <c r="C1005" s="6" t="s">
        <v>1259</v>
      </c>
      <c r="D1005" s="6" t="s">
        <v>1390</v>
      </c>
      <c r="E1005" s="6" t="s">
        <v>1391</v>
      </c>
      <c r="F1005" s="6" t="s">
        <v>267</v>
      </c>
    </row>
    <row r="1006" spans="1:6" ht="30" customHeight="1">
      <c r="A1006" s="4" t="s">
        <v>384</v>
      </c>
      <c r="B1006" s="4" t="s">
        <v>385</v>
      </c>
      <c r="C1006" s="4" t="s">
        <v>1262</v>
      </c>
      <c r="D1006" s="4" t="s">
        <v>1390</v>
      </c>
      <c r="E1006" s="4" t="s">
        <v>1391</v>
      </c>
      <c r="F1006" s="4" t="s">
        <v>267</v>
      </c>
    </row>
    <row r="1007" spans="1:6" ht="30" customHeight="1">
      <c r="A1007" s="6" t="s">
        <v>384</v>
      </c>
      <c r="B1007" s="6" t="s">
        <v>385</v>
      </c>
      <c r="C1007" s="6" t="s">
        <v>1263</v>
      </c>
      <c r="D1007" s="6" t="s">
        <v>1390</v>
      </c>
      <c r="E1007" s="6" t="s">
        <v>1391</v>
      </c>
      <c r="F1007" s="6" t="s">
        <v>267</v>
      </c>
    </row>
    <row r="1008" spans="1:6" ht="30" customHeight="1">
      <c r="A1008" s="4" t="s">
        <v>384</v>
      </c>
      <c r="B1008" s="4" t="s">
        <v>385</v>
      </c>
      <c r="C1008" s="4" t="s">
        <v>1265</v>
      </c>
      <c r="D1008" s="4" t="s">
        <v>1390</v>
      </c>
      <c r="E1008" s="4" t="s">
        <v>1391</v>
      </c>
      <c r="F1008" s="4" t="s">
        <v>267</v>
      </c>
    </row>
    <row r="1009" spans="1:6" ht="30" customHeight="1">
      <c r="A1009" s="6" t="s">
        <v>384</v>
      </c>
      <c r="B1009" s="6" t="s">
        <v>385</v>
      </c>
      <c r="C1009" s="6" t="s">
        <v>1267</v>
      </c>
      <c r="D1009" s="6" t="s">
        <v>1390</v>
      </c>
      <c r="E1009" s="6" t="s">
        <v>1391</v>
      </c>
      <c r="F1009" s="6" t="s">
        <v>267</v>
      </c>
    </row>
    <row r="1010" spans="1:6" ht="30" customHeight="1">
      <c r="A1010" s="4" t="s">
        <v>384</v>
      </c>
      <c r="B1010" s="4" t="s">
        <v>385</v>
      </c>
      <c r="C1010" s="4" t="s">
        <v>1269</v>
      </c>
      <c r="D1010" s="4" t="s">
        <v>1390</v>
      </c>
      <c r="E1010" s="4" t="s">
        <v>1391</v>
      </c>
      <c r="F1010" s="4" t="s">
        <v>267</v>
      </c>
    </row>
    <row r="1011" spans="1:6" ht="30" customHeight="1">
      <c r="A1011" s="6" t="s">
        <v>384</v>
      </c>
      <c r="B1011" s="6" t="s">
        <v>385</v>
      </c>
      <c r="C1011" s="6" t="s">
        <v>1271</v>
      </c>
      <c r="D1011" s="6" t="s">
        <v>1390</v>
      </c>
      <c r="E1011" s="6" t="s">
        <v>1391</v>
      </c>
      <c r="F1011" s="6" t="s">
        <v>267</v>
      </c>
    </row>
    <row r="1012" spans="1:6" ht="30" customHeight="1">
      <c r="A1012" s="4" t="s">
        <v>384</v>
      </c>
      <c r="B1012" s="4" t="s">
        <v>385</v>
      </c>
      <c r="C1012" s="4" t="s">
        <v>1273</v>
      </c>
      <c r="D1012" s="4" t="s">
        <v>1390</v>
      </c>
      <c r="E1012" s="4" t="s">
        <v>1391</v>
      </c>
      <c r="F1012" s="4" t="s">
        <v>267</v>
      </c>
    </row>
    <row r="1013" spans="1:6" ht="30" customHeight="1">
      <c r="A1013" s="6" t="s">
        <v>384</v>
      </c>
      <c r="B1013" s="6" t="s">
        <v>385</v>
      </c>
      <c r="C1013" s="6" t="s">
        <v>1275</v>
      </c>
      <c r="D1013" s="6" t="s">
        <v>1390</v>
      </c>
      <c r="E1013" s="6" t="s">
        <v>1391</v>
      </c>
      <c r="F1013" s="6" t="s">
        <v>267</v>
      </c>
    </row>
    <row r="1014" spans="1:6" ht="30" customHeight="1">
      <c r="A1014" s="4" t="s">
        <v>386</v>
      </c>
      <c r="B1014" s="4" t="s">
        <v>387</v>
      </c>
      <c r="C1014" s="4" t="s">
        <v>1259</v>
      </c>
      <c r="D1014" s="4" t="s">
        <v>1390</v>
      </c>
      <c r="E1014" s="4" t="s">
        <v>1391</v>
      </c>
      <c r="F1014" s="4" t="s">
        <v>267</v>
      </c>
    </row>
    <row r="1015" spans="1:6" ht="30" customHeight="1">
      <c r="A1015" s="6" t="s">
        <v>386</v>
      </c>
      <c r="B1015" s="6" t="s">
        <v>387</v>
      </c>
      <c r="C1015" s="6" t="s">
        <v>1262</v>
      </c>
      <c r="D1015" s="6" t="s">
        <v>1390</v>
      </c>
      <c r="E1015" s="6" t="s">
        <v>1391</v>
      </c>
      <c r="F1015" s="6" t="s">
        <v>267</v>
      </c>
    </row>
    <row r="1016" spans="1:6" ht="30" customHeight="1">
      <c r="A1016" s="4" t="s">
        <v>386</v>
      </c>
      <c r="B1016" s="4" t="s">
        <v>387</v>
      </c>
      <c r="C1016" s="4" t="s">
        <v>1263</v>
      </c>
      <c r="D1016" s="4" t="s">
        <v>1390</v>
      </c>
      <c r="E1016" s="4" t="s">
        <v>1391</v>
      </c>
      <c r="F1016" s="4" t="s">
        <v>267</v>
      </c>
    </row>
    <row r="1017" spans="1:6" ht="30" customHeight="1">
      <c r="A1017" s="6" t="s">
        <v>386</v>
      </c>
      <c r="B1017" s="6" t="s">
        <v>387</v>
      </c>
      <c r="C1017" s="6" t="s">
        <v>1265</v>
      </c>
      <c r="D1017" s="6" t="s">
        <v>1390</v>
      </c>
      <c r="E1017" s="6" t="s">
        <v>1391</v>
      </c>
      <c r="F1017" s="6" t="s">
        <v>267</v>
      </c>
    </row>
    <row r="1018" spans="1:6" ht="30" customHeight="1">
      <c r="A1018" s="4" t="s">
        <v>386</v>
      </c>
      <c r="B1018" s="4" t="s">
        <v>387</v>
      </c>
      <c r="C1018" s="4" t="s">
        <v>1267</v>
      </c>
      <c r="D1018" s="4" t="s">
        <v>1390</v>
      </c>
      <c r="E1018" s="4" t="s">
        <v>1391</v>
      </c>
      <c r="F1018" s="4" t="s">
        <v>267</v>
      </c>
    </row>
    <row r="1019" spans="1:6" ht="30" customHeight="1">
      <c r="A1019" s="6" t="s">
        <v>386</v>
      </c>
      <c r="B1019" s="6" t="s">
        <v>387</v>
      </c>
      <c r="C1019" s="6" t="s">
        <v>1269</v>
      </c>
      <c r="D1019" s="6" t="s">
        <v>1390</v>
      </c>
      <c r="E1019" s="6" t="s">
        <v>1391</v>
      </c>
      <c r="F1019" s="6" t="s">
        <v>267</v>
      </c>
    </row>
    <row r="1020" spans="1:6" ht="30" customHeight="1">
      <c r="A1020" s="4" t="s">
        <v>386</v>
      </c>
      <c r="B1020" s="4" t="s">
        <v>387</v>
      </c>
      <c r="C1020" s="4" t="s">
        <v>1271</v>
      </c>
      <c r="D1020" s="4" t="s">
        <v>1390</v>
      </c>
      <c r="E1020" s="4" t="s">
        <v>1391</v>
      </c>
      <c r="F1020" s="4" t="s">
        <v>267</v>
      </c>
    </row>
    <row r="1021" spans="1:6" ht="30" customHeight="1">
      <c r="A1021" s="6" t="s">
        <v>386</v>
      </c>
      <c r="B1021" s="6" t="s">
        <v>387</v>
      </c>
      <c r="C1021" s="6" t="s">
        <v>1273</v>
      </c>
      <c r="D1021" s="6" t="s">
        <v>1390</v>
      </c>
      <c r="E1021" s="6" t="s">
        <v>1391</v>
      </c>
      <c r="F1021" s="6" t="s">
        <v>267</v>
      </c>
    </row>
    <row r="1022" spans="1:6" ht="30" customHeight="1">
      <c r="A1022" s="4" t="s">
        <v>386</v>
      </c>
      <c r="B1022" s="4" t="s">
        <v>387</v>
      </c>
      <c r="C1022" s="4" t="s">
        <v>1275</v>
      </c>
      <c r="D1022" s="4" t="s">
        <v>1390</v>
      </c>
      <c r="E1022" s="4" t="s">
        <v>1391</v>
      </c>
      <c r="F1022" s="4" t="s">
        <v>267</v>
      </c>
    </row>
    <row r="1023" spans="1:6" ht="38" customHeight="1">
      <c r="A1023" s="6" t="s">
        <v>388</v>
      </c>
      <c r="B1023" s="6" t="s">
        <v>389</v>
      </c>
      <c r="C1023" s="6" t="s">
        <v>1259</v>
      </c>
      <c r="D1023" s="6" t="s">
        <v>1390</v>
      </c>
      <c r="E1023" s="6" t="s">
        <v>1391</v>
      </c>
      <c r="F1023" s="6" t="s">
        <v>267</v>
      </c>
    </row>
    <row r="1024" spans="1:6" ht="38" customHeight="1">
      <c r="A1024" s="4" t="s">
        <v>388</v>
      </c>
      <c r="B1024" s="4" t="s">
        <v>389</v>
      </c>
      <c r="C1024" s="4" t="s">
        <v>1262</v>
      </c>
      <c r="D1024" s="4" t="s">
        <v>1390</v>
      </c>
      <c r="E1024" s="4" t="s">
        <v>1391</v>
      </c>
      <c r="F1024" s="4" t="s">
        <v>267</v>
      </c>
    </row>
    <row r="1025" spans="1:6" ht="38" customHeight="1">
      <c r="A1025" s="6" t="s">
        <v>388</v>
      </c>
      <c r="B1025" s="6" t="s">
        <v>389</v>
      </c>
      <c r="C1025" s="6" t="s">
        <v>1263</v>
      </c>
      <c r="D1025" s="6" t="s">
        <v>1390</v>
      </c>
      <c r="E1025" s="6" t="s">
        <v>1391</v>
      </c>
      <c r="F1025" s="6" t="s">
        <v>267</v>
      </c>
    </row>
    <row r="1026" spans="1:6" ht="38" customHeight="1">
      <c r="A1026" s="4" t="s">
        <v>388</v>
      </c>
      <c r="B1026" s="4" t="s">
        <v>389</v>
      </c>
      <c r="C1026" s="4" t="s">
        <v>1265</v>
      </c>
      <c r="D1026" s="4" t="s">
        <v>1390</v>
      </c>
      <c r="E1026" s="4" t="s">
        <v>1391</v>
      </c>
      <c r="F1026" s="4" t="s">
        <v>267</v>
      </c>
    </row>
    <row r="1027" spans="1:6" ht="38" customHeight="1">
      <c r="A1027" s="6" t="s">
        <v>388</v>
      </c>
      <c r="B1027" s="6" t="s">
        <v>389</v>
      </c>
      <c r="C1027" s="6" t="s">
        <v>1267</v>
      </c>
      <c r="D1027" s="6" t="s">
        <v>1390</v>
      </c>
      <c r="E1027" s="6" t="s">
        <v>1391</v>
      </c>
      <c r="F1027" s="6" t="s">
        <v>267</v>
      </c>
    </row>
    <row r="1028" spans="1:6" ht="38" customHeight="1">
      <c r="A1028" s="4" t="s">
        <v>388</v>
      </c>
      <c r="B1028" s="4" t="s">
        <v>389</v>
      </c>
      <c r="C1028" s="4" t="s">
        <v>1269</v>
      </c>
      <c r="D1028" s="4" t="s">
        <v>1390</v>
      </c>
      <c r="E1028" s="4" t="s">
        <v>1391</v>
      </c>
      <c r="F1028" s="4" t="s">
        <v>267</v>
      </c>
    </row>
    <row r="1029" spans="1:6" ht="38" customHeight="1">
      <c r="A1029" s="6" t="s">
        <v>388</v>
      </c>
      <c r="B1029" s="6" t="s">
        <v>389</v>
      </c>
      <c r="C1029" s="6" t="s">
        <v>1271</v>
      </c>
      <c r="D1029" s="6" t="s">
        <v>1390</v>
      </c>
      <c r="E1029" s="6" t="s">
        <v>1391</v>
      </c>
      <c r="F1029" s="6" t="s">
        <v>267</v>
      </c>
    </row>
    <row r="1030" spans="1:6" ht="38" customHeight="1">
      <c r="A1030" s="4" t="s">
        <v>388</v>
      </c>
      <c r="B1030" s="4" t="s">
        <v>389</v>
      </c>
      <c r="C1030" s="4" t="s">
        <v>1273</v>
      </c>
      <c r="D1030" s="4" t="s">
        <v>1390</v>
      </c>
      <c r="E1030" s="4" t="s">
        <v>1391</v>
      </c>
      <c r="F1030" s="4" t="s">
        <v>267</v>
      </c>
    </row>
    <row r="1031" spans="1:6" ht="38" customHeight="1">
      <c r="A1031" s="6" t="s">
        <v>388</v>
      </c>
      <c r="B1031" s="6" t="s">
        <v>389</v>
      </c>
      <c r="C1031" s="6" t="s">
        <v>1275</v>
      </c>
      <c r="D1031" s="6" t="s">
        <v>1390</v>
      </c>
      <c r="E1031" s="6" t="s">
        <v>1391</v>
      </c>
      <c r="F1031" s="6" t="s">
        <v>267</v>
      </c>
    </row>
    <row r="1032" spans="1:6" ht="30" customHeight="1">
      <c r="A1032" s="4" t="s">
        <v>391</v>
      </c>
      <c r="B1032" s="4" t="s">
        <v>392</v>
      </c>
      <c r="C1032" s="4" t="s">
        <v>1259</v>
      </c>
      <c r="D1032" s="4" t="s">
        <v>1390</v>
      </c>
      <c r="E1032" s="4" t="s">
        <v>1391</v>
      </c>
      <c r="F1032" s="4" t="s">
        <v>267</v>
      </c>
    </row>
    <row r="1033" spans="1:6" ht="30" customHeight="1">
      <c r="A1033" s="6" t="s">
        <v>391</v>
      </c>
      <c r="B1033" s="6" t="s">
        <v>392</v>
      </c>
      <c r="C1033" s="6" t="s">
        <v>1262</v>
      </c>
      <c r="D1033" s="6" t="s">
        <v>1390</v>
      </c>
      <c r="E1033" s="6" t="s">
        <v>1391</v>
      </c>
      <c r="F1033" s="6" t="s">
        <v>267</v>
      </c>
    </row>
    <row r="1034" spans="1:6" ht="30" customHeight="1">
      <c r="A1034" s="4" t="s">
        <v>391</v>
      </c>
      <c r="B1034" s="4" t="s">
        <v>392</v>
      </c>
      <c r="C1034" s="4" t="s">
        <v>1263</v>
      </c>
      <c r="D1034" s="4" t="s">
        <v>1390</v>
      </c>
      <c r="E1034" s="4" t="s">
        <v>1391</v>
      </c>
      <c r="F1034" s="4" t="s">
        <v>267</v>
      </c>
    </row>
    <row r="1035" spans="1:6" ht="30" customHeight="1">
      <c r="A1035" s="6" t="s">
        <v>391</v>
      </c>
      <c r="B1035" s="6" t="s">
        <v>392</v>
      </c>
      <c r="C1035" s="6" t="s">
        <v>1265</v>
      </c>
      <c r="D1035" s="6" t="s">
        <v>1390</v>
      </c>
      <c r="E1035" s="6" t="s">
        <v>1391</v>
      </c>
      <c r="F1035" s="6" t="s">
        <v>267</v>
      </c>
    </row>
    <row r="1036" spans="1:6" ht="30" customHeight="1">
      <c r="A1036" s="4" t="s">
        <v>391</v>
      </c>
      <c r="B1036" s="4" t="s">
        <v>392</v>
      </c>
      <c r="C1036" s="4" t="s">
        <v>1267</v>
      </c>
      <c r="D1036" s="4" t="s">
        <v>1390</v>
      </c>
      <c r="E1036" s="4" t="s">
        <v>1391</v>
      </c>
      <c r="F1036" s="4" t="s">
        <v>267</v>
      </c>
    </row>
    <row r="1037" spans="1:6" ht="30" customHeight="1">
      <c r="A1037" s="6" t="s">
        <v>391</v>
      </c>
      <c r="B1037" s="6" t="s">
        <v>392</v>
      </c>
      <c r="C1037" s="6" t="s">
        <v>1269</v>
      </c>
      <c r="D1037" s="6" t="s">
        <v>1390</v>
      </c>
      <c r="E1037" s="6" t="s">
        <v>1391</v>
      </c>
      <c r="F1037" s="6" t="s">
        <v>267</v>
      </c>
    </row>
    <row r="1038" spans="1:6" ht="30" customHeight="1">
      <c r="A1038" s="4" t="s">
        <v>391</v>
      </c>
      <c r="B1038" s="4" t="s">
        <v>392</v>
      </c>
      <c r="C1038" s="4" t="s">
        <v>1271</v>
      </c>
      <c r="D1038" s="4" t="s">
        <v>1390</v>
      </c>
      <c r="E1038" s="4" t="s">
        <v>1391</v>
      </c>
      <c r="F1038" s="4" t="s">
        <v>267</v>
      </c>
    </row>
    <row r="1039" spans="1:6" ht="30" customHeight="1">
      <c r="A1039" s="6" t="s">
        <v>391</v>
      </c>
      <c r="B1039" s="6" t="s">
        <v>392</v>
      </c>
      <c r="C1039" s="6" t="s">
        <v>1273</v>
      </c>
      <c r="D1039" s="6" t="s">
        <v>1390</v>
      </c>
      <c r="E1039" s="6" t="s">
        <v>1391</v>
      </c>
      <c r="F1039" s="6" t="s">
        <v>267</v>
      </c>
    </row>
    <row r="1040" spans="1:6" ht="30" customHeight="1">
      <c r="A1040" s="4" t="s">
        <v>391</v>
      </c>
      <c r="B1040" s="4" t="s">
        <v>392</v>
      </c>
      <c r="C1040" s="4" t="s">
        <v>1275</v>
      </c>
      <c r="D1040" s="4" t="s">
        <v>1390</v>
      </c>
      <c r="E1040" s="4" t="s">
        <v>1391</v>
      </c>
      <c r="F1040" s="4" t="s">
        <v>267</v>
      </c>
    </row>
    <row r="1041" spans="1:6" ht="30" customHeight="1">
      <c r="A1041" s="6" t="s">
        <v>394</v>
      </c>
      <c r="B1041" s="6" t="s">
        <v>395</v>
      </c>
      <c r="C1041" s="6" t="s">
        <v>1259</v>
      </c>
      <c r="D1041" s="6" t="s">
        <v>1390</v>
      </c>
      <c r="E1041" s="6" t="s">
        <v>1391</v>
      </c>
      <c r="F1041" s="6" t="s">
        <v>267</v>
      </c>
    </row>
    <row r="1042" spans="1:6" ht="30" customHeight="1">
      <c r="A1042" s="4" t="s">
        <v>394</v>
      </c>
      <c r="B1042" s="4" t="s">
        <v>395</v>
      </c>
      <c r="C1042" s="4" t="s">
        <v>1262</v>
      </c>
      <c r="D1042" s="4" t="s">
        <v>1390</v>
      </c>
      <c r="E1042" s="4" t="s">
        <v>1391</v>
      </c>
      <c r="F1042" s="4" t="s">
        <v>267</v>
      </c>
    </row>
    <row r="1043" spans="1:6" ht="30" customHeight="1">
      <c r="A1043" s="6" t="s">
        <v>394</v>
      </c>
      <c r="B1043" s="6" t="s">
        <v>395</v>
      </c>
      <c r="C1043" s="6" t="s">
        <v>1263</v>
      </c>
      <c r="D1043" s="6" t="s">
        <v>1390</v>
      </c>
      <c r="E1043" s="6" t="s">
        <v>1391</v>
      </c>
      <c r="F1043" s="6" t="s">
        <v>267</v>
      </c>
    </row>
    <row r="1044" spans="1:6" ht="30" customHeight="1">
      <c r="A1044" s="4" t="s">
        <v>394</v>
      </c>
      <c r="B1044" s="4" t="s">
        <v>395</v>
      </c>
      <c r="C1044" s="4" t="s">
        <v>1265</v>
      </c>
      <c r="D1044" s="4" t="s">
        <v>1390</v>
      </c>
      <c r="E1044" s="4" t="s">
        <v>1391</v>
      </c>
      <c r="F1044" s="4" t="s">
        <v>267</v>
      </c>
    </row>
    <row r="1045" spans="1:6" ht="30" customHeight="1">
      <c r="A1045" s="6" t="s">
        <v>394</v>
      </c>
      <c r="B1045" s="6" t="s">
        <v>395</v>
      </c>
      <c r="C1045" s="6" t="s">
        <v>1267</v>
      </c>
      <c r="D1045" s="6" t="s">
        <v>1390</v>
      </c>
      <c r="E1045" s="6" t="s">
        <v>1391</v>
      </c>
      <c r="F1045" s="6" t="s">
        <v>267</v>
      </c>
    </row>
    <row r="1046" spans="1:6" ht="30" customHeight="1">
      <c r="A1046" s="4" t="s">
        <v>394</v>
      </c>
      <c r="B1046" s="4" t="s">
        <v>395</v>
      </c>
      <c r="C1046" s="4" t="s">
        <v>1269</v>
      </c>
      <c r="D1046" s="4" t="s">
        <v>1390</v>
      </c>
      <c r="E1046" s="4" t="s">
        <v>1391</v>
      </c>
      <c r="F1046" s="4" t="s">
        <v>267</v>
      </c>
    </row>
    <row r="1047" spans="1:6" ht="30" customHeight="1">
      <c r="A1047" s="6" t="s">
        <v>394</v>
      </c>
      <c r="B1047" s="6" t="s">
        <v>395</v>
      </c>
      <c r="C1047" s="6" t="s">
        <v>1271</v>
      </c>
      <c r="D1047" s="6" t="s">
        <v>1390</v>
      </c>
      <c r="E1047" s="6" t="s">
        <v>1391</v>
      </c>
      <c r="F1047" s="6" t="s">
        <v>267</v>
      </c>
    </row>
    <row r="1048" spans="1:6" ht="30" customHeight="1">
      <c r="A1048" s="4" t="s">
        <v>394</v>
      </c>
      <c r="B1048" s="4" t="s">
        <v>395</v>
      </c>
      <c r="C1048" s="4" t="s">
        <v>1273</v>
      </c>
      <c r="D1048" s="4" t="s">
        <v>1390</v>
      </c>
      <c r="E1048" s="4" t="s">
        <v>1391</v>
      </c>
      <c r="F1048" s="4" t="s">
        <v>267</v>
      </c>
    </row>
    <row r="1049" spans="1:6" ht="30" customHeight="1">
      <c r="A1049" s="6" t="s">
        <v>394</v>
      </c>
      <c r="B1049" s="6" t="s">
        <v>395</v>
      </c>
      <c r="C1049" s="6" t="s">
        <v>1275</v>
      </c>
      <c r="D1049" s="6" t="s">
        <v>1390</v>
      </c>
      <c r="E1049" s="6" t="s">
        <v>1391</v>
      </c>
      <c r="F1049" s="6" t="s">
        <v>267</v>
      </c>
    </row>
    <row r="1050" spans="1:6" ht="30" customHeight="1">
      <c r="A1050" s="4" t="s">
        <v>397</v>
      </c>
      <c r="B1050" s="4" t="s">
        <v>398</v>
      </c>
      <c r="C1050" s="4" t="s">
        <v>1259</v>
      </c>
      <c r="D1050" s="4" t="s">
        <v>1390</v>
      </c>
      <c r="E1050" s="4" t="s">
        <v>1391</v>
      </c>
      <c r="F1050" s="4" t="s">
        <v>267</v>
      </c>
    </row>
    <row r="1051" spans="1:6" ht="30" customHeight="1">
      <c r="A1051" s="6" t="s">
        <v>397</v>
      </c>
      <c r="B1051" s="6" t="s">
        <v>398</v>
      </c>
      <c r="C1051" s="6" t="s">
        <v>1262</v>
      </c>
      <c r="D1051" s="6" t="s">
        <v>1390</v>
      </c>
      <c r="E1051" s="6" t="s">
        <v>1391</v>
      </c>
      <c r="F1051" s="6" t="s">
        <v>267</v>
      </c>
    </row>
    <row r="1052" spans="1:6" ht="30" customHeight="1">
      <c r="A1052" s="4" t="s">
        <v>397</v>
      </c>
      <c r="B1052" s="4" t="s">
        <v>398</v>
      </c>
      <c r="C1052" s="4" t="s">
        <v>1263</v>
      </c>
      <c r="D1052" s="4" t="s">
        <v>1390</v>
      </c>
      <c r="E1052" s="4" t="s">
        <v>1391</v>
      </c>
      <c r="F1052" s="4" t="s">
        <v>267</v>
      </c>
    </row>
    <row r="1053" spans="1:6" ht="30" customHeight="1">
      <c r="A1053" s="6" t="s">
        <v>397</v>
      </c>
      <c r="B1053" s="6" t="s">
        <v>398</v>
      </c>
      <c r="C1053" s="6" t="s">
        <v>1265</v>
      </c>
      <c r="D1053" s="6" t="s">
        <v>1390</v>
      </c>
      <c r="E1053" s="6" t="s">
        <v>1391</v>
      </c>
      <c r="F1053" s="6" t="s">
        <v>267</v>
      </c>
    </row>
    <row r="1054" spans="1:6" ht="30" customHeight="1">
      <c r="A1054" s="4" t="s">
        <v>397</v>
      </c>
      <c r="B1054" s="4" t="s">
        <v>398</v>
      </c>
      <c r="C1054" s="4" t="s">
        <v>1267</v>
      </c>
      <c r="D1054" s="4" t="s">
        <v>1390</v>
      </c>
      <c r="E1054" s="4" t="s">
        <v>1391</v>
      </c>
      <c r="F1054" s="4" t="s">
        <v>267</v>
      </c>
    </row>
    <row r="1055" spans="1:6" ht="30" customHeight="1">
      <c r="A1055" s="6" t="s">
        <v>397</v>
      </c>
      <c r="B1055" s="6" t="s">
        <v>398</v>
      </c>
      <c r="C1055" s="6" t="s">
        <v>1269</v>
      </c>
      <c r="D1055" s="6" t="s">
        <v>1390</v>
      </c>
      <c r="E1055" s="6" t="s">
        <v>1391</v>
      </c>
      <c r="F1055" s="6" t="s">
        <v>267</v>
      </c>
    </row>
    <row r="1056" spans="1:6" ht="30" customHeight="1">
      <c r="A1056" s="4" t="s">
        <v>397</v>
      </c>
      <c r="B1056" s="4" t="s">
        <v>398</v>
      </c>
      <c r="C1056" s="4" t="s">
        <v>1271</v>
      </c>
      <c r="D1056" s="4" t="s">
        <v>1390</v>
      </c>
      <c r="E1056" s="4" t="s">
        <v>1391</v>
      </c>
      <c r="F1056" s="4" t="s">
        <v>267</v>
      </c>
    </row>
    <row r="1057" spans="1:6" ht="30" customHeight="1">
      <c r="A1057" s="6" t="s">
        <v>397</v>
      </c>
      <c r="B1057" s="6" t="s">
        <v>398</v>
      </c>
      <c r="C1057" s="6" t="s">
        <v>1273</v>
      </c>
      <c r="D1057" s="6" t="s">
        <v>1390</v>
      </c>
      <c r="E1057" s="6" t="s">
        <v>1391</v>
      </c>
      <c r="F1057" s="6" t="s">
        <v>267</v>
      </c>
    </row>
    <row r="1058" spans="1:6" ht="30" customHeight="1">
      <c r="A1058" s="4" t="s">
        <v>397</v>
      </c>
      <c r="B1058" s="4" t="s">
        <v>398</v>
      </c>
      <c r="C1058" s="4" t="s">
        <v>1275</v>
      </c>
      <c r="D1058" s="4" t="s">
        <v>1390</v>
      </c>
      <c r="E1058" s="4" t="s">
        <v>1391</v>
      </c>
      <c r="F1058" s="4" t="s">
        <v>267</v>
      </c>
    </row>
    <row r="1059" spans="1:6" ht="30" customHeight="1">
      <c r="A1059" s="6" t="s">
        <v>399</v>
      </c>
      <c r="B1059" s="6" t="s">
        <v>400</v>
      </c>
      <c r="C1059" s="6" t="s">
        <v>1259</v>
      </c>
      <c r="D1059" s="6" t="s">
        <v>1390</v>
      </c>
      <c r="E1059" s="6" t="s">
        <v>1391</v>
      </c>
      <c r="F1059" s="6" t="s">
        <v>402</v>
      </c>
    </row>
    <row r="1060" spans="1:6" ht="30" customHeight="1">
      <c r="A1060" s="4" t="s">
        <v>399</v>
      </c>
      <c r="B1060" s="4" t="s">
        <v>400</v>
      </c>
      <c r="C1060" s="4" t="s">
        <v>1262</v>
      </c>
      <c r="D1060" s="4" t="s">
        <v>1390</v>
      </c>
      <c r="E1060" s="4" t="s">
        <v>1391</v>
      </c>
      <c r="F1060" s="4" t="s">
        <v>402</v>
      </c>
    </row>
    <row r="1061" spans="1:6" ht="30" customHeight="1">
      <c r="A1061" s="6" t="s">
        <v>399</v>
      </c>
      <c r="B1061" s="6" t="s">
        <v>400</v>
      </c>
      <c r="C1061" s="6" t="s">
        <v>1263</v>
      </c>
      <c r="D1061" s="6" t="s">
        <v>1390</v>
      </c>
      <c r="E1061" s="6" t="s">
        <v>1391</v>
      </c>
      <c r="F1061" s="6" t="s">
        <v>402</v>
      </c>
    </row>
    <row r="1062" spans="1:6" ht="30" customHeight="1">
      <c r="A1062" s="4" t="s">
        <v>399</v>
      </c>
      <c r="B1062" s="4" t="s">
        <v>400</v>
      </c>
      <c r="C1062" s="4" t="s">
        <v>1265</v>
      </c>
      <c r="D1062" s="4" t="s">
        <v>1390</v>
      </c>
      <c r="E1062" s="4" t="s">
        <v>1391</v>
      </c>
      <c r="F1062" s="4" t="s">
        <v>402</v>
      </c>
    </row>
    <row r="1063" spans="1:6" ht="30" customHeight="1">
      <c r="A1063" s="6" t="s">
        <v>399</v>
      </c>
      <c r="B1063" s="6" t="s">
        <v>400</v>
      </c>
      <c r="C1063" s="6" t="s">
        <v>1267</v>
      </c>
      <c r="D1063" s="6" t="s">
        <v>1390</v>
      </c>
      <c r="E1063" s="6" t="s">
        <v>1391</v>
      </c>
      <c r="F1063" s="6" t="s">
        <v>402</v>
      </c>
    </row>
    <row r="1064" spans="1:6" ht="30" customHeight="1">
      <c r="A1064" s="4" t="s">
        <v>399</v>
      </c>
      <c r="B1064" s="4" t="s">
        <v>400</v>
      </c>
      <c r="C1064" s="4" t="s">
        <v>1269</v>
      </c>
      <c r="D1064" s="4" t="s">
        <v>1390</v>
      </c>
      <c r="E1064" s="4" t="s">
        <v>1391</v>
      </c>
      <c r="F1064" s="4" t="s">
        <v>402</v>
      </c>
    </row>
    <row r="1065" spans="1:6" ht="30" customHeight="1">
      <c r="A1065" s="6" t="s">
        <v>399</v>
      </c>
      <c r="B1065" s="6" t="s">
        <v>400</v>
      </c>
      <c r="C1065" s="6" t="s">
        <v>1271</v>
      </c>
      <c r="D1065" s="6" t="s">
        <v>1390</v>
      </c>
      <c r="E1065" s="6" t="s">
        <v>1391</v>
      </c>
      <c r="F1065" s="6" t="s">
        <v>402</v>
      </c>
    </row>
    <row r="1066" spans="1:6" ht="30" customHeight="1">
      <c r="A1066" s="4" t="s">
        <v>399</v>
      </c>
      <c r="B1066" s="4" t="s">
        <v>400</v>
      </c>
      <c r="C1066" s="4" t="s">
        <v>1273</v>
      </c>
      <c r="D1066" s="4" t="s">
        <v>1390</v>
      </c>
      <c r="E1066" s="4" t="s">
        <v>1391</v>
      </c>
      <c r="F1066" s="4" t="s">
        <v>402</v>
      </c>
    </row>
    <row r="1067" spans="1:6" ht="30" customHeight="1">
      <c r="A1067" s="6" t="s">
        <v>399</v>
      </c>
      <c r="B1067" s="6" t="s">
        <v>400</v>
      </c>
      <c r="C1067" s="6" t="s">
        <v>1275</v>
      </c>
      <c r="D1067" s="6" t="s">
        <v>1390</v>
      </c>
      <c r="E1067" s="6" t="s">
        <v>1391</v>
      </c>
      <c r="F1067" s="6" t="s">
        <v>402</v>
      </c>
    </row>
    <row r="1068" spans="1:6" ht="30" customHeight="1">
      <c r="A1068" s="4" t="s">
        <v>403</v>
      </c>
      <c r="B1068" s="4" t="s">
        <v>404</v>
      </c>
      <c r="C1068" s="4" t="s">
        <v>1259</v>
      </c>
      <c r="D1068" s="4" t="s">
        <v>1390</v>
      </c>
      <c r="E1068" s="4" t="s">
        <v>1391</v>
      </c>
      <c r="F1068" s="4" t="s">
        <v>409</v>
      </c>
    </row>
    <row r="1069" spans="1:6" ht="30" customHeight="1">
      <c r="A1069" s="6" t="s">
        <v>403</v>
      </c>
      <c r="B1069" s="6" t="s">
        <v>404</v>
      </c>
      <c r="C1069" s="6" t="s">
        <v>1262</v>
      </c>
      <c r="D1069" s="6" t="s">
        <v>1390</v>
      </c>
      <c r="E1069" s="6" t="s">
        <v>1391</v>
      </c>
      <c r="F1069" s="6" t="s">
        <v>409</v>
      </c>
    </row>
    <row r="1070" spans="1:6" ht="30" customHeight="1">
      <c r="A1070" s="4" t="s">
        <v>403</v>
      </c>
      <c r="B1070" s="4" t="s">
        <v>404</v>
      </c>
      <c r="C1070" s="4" t="s">
        <v>1263</v>
      </c>
      <c r="D1070" s="4" t="s">
        <v>1390</v>
      </c>
      <c r="E1070" s="4" t="s">
        <v>1391</v>
      </c>
      <c r="F1070" s="4" t="s">
        <v>409</v>
      </c>
    </row>
    <row r="1071" spans="1:6" ht="30" customHeight="1">
      <c r="A1071" s="6" t="s">
        <v>403</v>
      </c>
      <c r="B1071" s="6" t="s">
        <v>404</v>
      </c>
      <c r="C1071" s="6" t="s">
        <v>1265</v>
      </c>
      <c r="D1071" s="6" t="s">
        <v>1390</v>
      </c>
      <c r="E1071" s="6" t="s">
        <v>1391</v>
      </c>
      <c r="F1071" s="6" t="s">
        <v>409</v>
      </c>
    </row>
    <row r="1072" spans="1:6" ht="30" customHeight="1">
      <c r="A1072" s="4" t="s">
        <v>403</v>
      </c>
      <c r="B1072" s="4" t="s">
        <v>404</v>
      </c>
      <c r="C1072" s="4" t="s">
        <v>1267</v>
      </c>
      <c r="D1072" s="4" t="s">
        <v>1390</v>
      </c>
      <c r="E1072" s="4" t="s">
        <v>1391</v>
      </c>
      <c r="F1072" s="4" t="s">
        <v>409</v>
      </c>
    </row>
    <row r="1073" spans="1:6" ht="30" customHeight="1">
      <c r="A1073" s="6" t="s">
        <v>403</v>
      </c>
      <c r="B1073" s="6" t="s">
        <v>404</v>
      </c>
      <c r="C1073" s="6" t="s">
        <v>1269</v>
      </c>
      <c r="D1073" s="6" t="s">
        <v>1390</v>
      </c>
      <c r="E1073" s="6" t="s">
        <v>1391</v>
      </c>
      <c r="F1073" s="6" t="s">
        <v>409</v>
      </c>
    </row>
    <row r="1074" spans="1:6" ht="30" customHeight="1">
      <c r="A1074" s="4" t="s">
        <v>403</v>
      </c>
      <c r="B1074" s="4" t="s">
        <v>404</v>
      </c>
      <c r="C1074" s="4" t="s">
        <v>1271</v>
      </c>
      <c r="D1074" s="4" t="s">
        <v>1390</v>
      </c>
      <c r="E1074" s="4" t="s">
        <v>1391</v>
      </c>
      <c r="F1074" s="4" t="s">
        <v>409</v>
      </c>
    </row>
    <row r="1075" spans="1:6" ht="30" customHeight="1">
      <c r="A1075" s="6" t="s">
        <v>403</v>
      </c>
      <c r="B1075" s="6" t="s">
        <v>404</v>
      </c>
      <c r="C1075" s="6" t="s">
        <v>1273</v>
      </c>
      <c r="D1075" s="6" t="s">
        <v>1390</v>
      </c>
      <c r="E1075" s="6" t="s">
        <v>1391</v>
      </c>
      <c r="F1075" s="6" t="s">
        <v>409</v>
      </c>
    </row>
    <row r="1076" spans="1:6" ht="30" customHeight="1">
      <c r="A1076" s="4" t="s">
        <v>403</v>
      </c>
      <c r="B1076" s="4" t="s">
        <v>404</v>
      </c>
      <c r="C1076" s="4" t="s">
        <v>1275</v>
      </c>
      <c r="D1076" s="4" t="s">
        <v>1390</v>
      </c>
      <c r="E1076" s="4" t="s">
        <v>1391</v>
      </c>
      <c r="F1076" s="4" t="s">
        <v>409</v>
      </c>
    </row>
    <row r="1077" spans="1:6" ht="30" customHeight="1">
      <c r="A1077" s="6" t="s">
        <v>410</v>
      </c>
      <c r="B1077" s="6" t="s">
        <v>411</v>
      </c>
      <c r="C1077" s="6" t="s">
        <v>1259</v>
      </c>
      <c r="D1077" s="6" t="s">
        <v>1390</v>
      </c>
      <c r="E1077" s="6" t="s">
        <v>1391</v>
      </c>
      <c r="F1077" s="6" t="s">
        <v>413</v>
      </c>
    </row>
    <row r="1078" spans="1:6" ht="30" customHeight="1">
      <c r="A1078" s="4" t="s">
        <v>410</v>
      </c>
      <c r="B1078" s="4" t="s">
        <v>411</v>
      </c>
      <c r="C1078" s="4" t="s">
        <v>1262</v>
      </c>
      <c r="D1078" s="4" t="s">
        <v>1390</v>
      </c>
      <c r="E1078" s="4" t="s">
        <v>1391</v>
      </c>
      <c r="F1078" s="4" t="s">
        <v>413</v>
      </c>
    </row>
    <row r="1079" spans="1:6" ht="30" customHeight="1">
      <c r="A1079" s="6" t="s">
        <v>410</v>
      </c>
      <c r="B1079" s="6" t="s">
        <v>411</v>
      </c>
      <c r="C1079" s="6" t="s">
        <v>1263</v>
      </c>
      <c r="D1079" s="6" t="s">
        <v>1390</v>
      </c>
      <c r="E1079" s="6" t="s">
        <v>1391</v>
      </c>
      <c r="F1079" s="6" t="s">
        <v>413</v>
      </c>
    </row>
    <row r="1080" spans="1:6" ht="30" customHeight="1">
      <c r="A1080" s="4" t="s">
        <v>410</v>
      </c>
      <c r="B1080" s="4" t="s">
        <v>411</v>
      </c>
      <c r="C1080" s="4" t="s">
        <v>1265</v>
      </c>
      <c r="D1080" s="4" t="s">
        <v>1390</v>
      </c>
      <c r="E1080" s="4" t="s">
        <v>1391</v>
      </c>
      <c r="F1080" s="4" t="s">
        <v>413</v>
      </c>
    </row>
    <row r="1081" spans="1:6" ht="30" customHeight="1">
      <c r="A1081" s="6" t="s">
        <v>410</v>
      </c>
      <c r="B1081" s="6" t="s">
        <v>411</v>
      </c>
      <c r="C1081" s="6" t="s">
        <v>1267</v>
      </c>
      <c r="D1081" s="6" t="s">
        <v>1390</v>
      </c>
      <c r="E1081" s="6" t="s">
        <v>1391</v>
      </c>
      <c r="F1081" s="6" t="s">
        <v>413</v>
      </c>
    </row>
    <row r="1082" spans="1:6" ht="30" customHeight="1">
      <c r="A1082" s="4" t="s">
        <v>410</v>
      </c>
      <c r="B1082" s="4" t="s">
        <v>411</v>
      </c>
      <c r="C1082" s="4" t="s">
        <v>1269</v>
      </c>
      <c r="D1082" s="4" t="s">
        <v>1390</v>
      </c>
      <c r="E1082" s="4" t="s">
        <v>1391</v>
      </c>
      <c r="F1082" s="4" t="s">
        <v>413</v>
      </c>
    </row>
    <row r="1083" spans="1:6" ht="30" customHeight="1">
      <c r="A1083" s="6" t="s">
        <v>410</v>
      </c>
      <c r="B1083" s="6" t="s">
        <v>411</v>
      </c>
      <c r="C1083" s="6" t="s">
        <v>1271</v>
      </c>
      <c r="D1083" s="6" t="s">
        <v>1390</v>
      </c>
      <c r="E1083" s="6" t="s">
        <v>1391</v>
      </c>
      <c r="F1083" s="6" t="s">
        <v>413</v>
      </c>
    </row>
    <row r="1084" spans="1:6" ht="30" customHeight="1">
      <c r="A1084" s="4" t="s">
        <v>410</v>
      </c>
      <c r="B1084" s="4" t="s">
        <v>411</v>
      </c>
      <c r="C1084" s="4" t="s">
        <v>1273</v>
      </c>
      <c r="D1084" s="4" t="s">
        <v>1390</v>
      </c>
      <c r="E1084" s="4" t="s">
        <v>1391</v>
      </c>
      <c r="F1084" s="4" t="s">
        <v>413</v>
      </c>
    </row>
    <row r="1085" spans="1:6" ht="30" customHeight="1">
      <c r="A1085" s="6" t="s">
        <v>410</v>
      </c>
      <c r="B1085" s="6" t="s">
        <v>411</v>
      </c>
      <c r="C1085" s="6" t="s">
        <v>1275</v>
      </c>
      <c r="D1085" s="6" t="s">
        <v>1390</v>
      </c>
      <c r="E1085" s="6" t="s">
        <v>1391</v>
      </c>
      <c r="F1085" s="6" t="s">
        <v>413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7"/>
  <sheetViews>
    <sheetView showGridLines="0" workbookViewId="0">
      <pane xSplit="2" ySplit="5" topLeftCell="G6" activePane="bottomRight" state="frozen"/>
      <selection pane="topRight"/>
      <selection pane="bottomLeft"/>
      <selection pane="bottomRight" activeCell="G6" sqref="G6"/>
    </sheetView>
  </sheetViews>
  <sheetFormatPr defaultRowHeight="14"/>
  <cols>
    <col min="1" max="1" width="42" customWidth="1"/>
    <col min="2" max="2" width="38" customWidth="1"/>
    <col min="3" max="3" width="37" customWidth="1"/>
    <col min="4" max="4" width="83" customWidth="1"/>
    <col min="5" max="5" width="81" customWidth="1"/>
    <col min="6" max="6" width="93" customWidth="1"/>
    <col min="7" max="7" width="63" customWidth="1"/>
  </cols>
  <sheetData>
    <row r="1" spans="1:7">
      <c r="A1" s="1"/>
      <c r="B1" s="1"/>
      <c r="C1" s="1"/>
      <c r="D1" s="1"/>
      <c r="E1" s="1"/>
      <c r="F1" s="1"/>
      <c r="G1" s="1"/>
    </row>
    <row r="2" spans="1:7" ht="18">
      <c r="A2" s="2" t="s">
        <v>1392</v>
      </c>
      <c r="B2" s="1"/>
      <c r="C2" s="1"/>
      <c r="D2" s="1"/>
      <c r="E2" s="1"/>
      <c r="F2" s="1"/>
      <c r="G2" s="1"/>
    </row>
    <row r="3" spans="1:7" ht="26" customHeight="1">
      <c r="A3" s="3" t="s">
        <v>1393</v>
      </c>
      <c r="B3" s="1"/>
      <c r="C3" s="1"/>
      <c r="D3" s="1"/>
      <c r="E3" s="1"/>
      <c r="F3" s="1"/>
      <c r="G3" s="1"/>
    </row>
    <row r="4" spans="1:7">
      <c r="A4" s="1"/>
      <c r="B4" s="1"/>
      <c r="C4" s="1"/>
      <c r="D4" s="1"/>
      <c r="E4" s="1"/>
      <c r="F4" s="1"/>
      <c r="G4" s="1"/>
    </row>
    <row r="5" spans="1:7" ht="34" customHeight="1">
      <c r="A5" s="5" t="s">
        <v>1394</v>
      </c>
      <c r="B5" s="5" t="s">
        <v>1395</v>
      </c>
      <c r="C5" s="5" t="s">
        <v>1396</v>
      </c>
      <c r="D5" s="5" t="s">
        <v>1397</v>
      </c>
      <c r="E5" s="5" t="s">
        <v>1398</v>
      </c>
      <c r="F5" s="5" t="s">
        <v>1399</v>
      </c>
      <c r="G5" s="5" t="s">
        <v>1400</v>
      </c>
    </row>
    <row r="6" spans="1:7" ht="38" customHeight="1">
      <c r="A6" s="4" t="s">
        <v>1401</v>
      </c>
      <c r="B6" s="4" t="s">
        <v>1402</v>
      </c>
      <c r="C6" s="4" t="s">
        <v>1403</v>
      </c>
      <c r="D6" s="4" t="s">
        <v>1404</v>
      </c>
      <c r="E6" s="4" t="s">
        <v>1405</v>
      </c>
      <c r="F6" s="4" t="s">
        <v>1406</v>
      </c>
      <c r="G6" s="4" t="s">
        <v>1407</v>
      </c>
    </row>
    <row r="7" spans="1:7" ht="30" customHeight="1">
      <c r="A7" s="6" t="s">
        <v>1408</v>
      </c>
      <c r="B7" s="6" t="s">
        <v>1409</v>
      </c>
      <c r="C7" s="6" t="s">
        <v>1410</v>
      </c>
      <c r="D7" s="6" t="s">
        <v>1411</v>
      </c>
      <c r="E7" s="6" t="s">
        <v>1412</v>
      </c>
      <c r="F7" s="6" t="s">
        <v>1413</v>
      </c>
      <c r="G7" s="6" t="s">
        <v>1414</v>
      </c>
    </row>
    <row r="8" spans="1:7" ht="38" customHeight="1">
      <c r="A8" s="4" t="s">
        <v>1415</v>
      </c>
      <c r="B8" s="4" t="s">
        <v>1416</v>
      </c>
      <c r="C8" s="4" t="s">
        <v>1417</v>
      </c>
      <c r="D8" s="4" t="s">
        <v>1418</v>
      </c>
      <c r="E8" s="4" t="s">
        <v>1419</v>
      </c>
      <c r="F8" s="4" t="s">
        <v>1420</v>
      </c>
      <c r="G8" s="4" t="s">
        <v>1421</v>
      </c>
    </row>
    <row r="9" spans="1:7" ht="30" customHeight="1">
      <c r="A9" s="6" t="s">
        <v>1422</v>
      </c>
      <c r="B9" s="6" t="s">
        <v>1423</v>
      </c>
      <c r="C9" s="6" t="s">
        <v>1424</v>
      </c>
      <c r="D9" s="6" t="s">
        <v>1425</v>
      </c>
      <c r="E9" s="6" t="s">
        <v>1426</v>
      </c>
      <c r="F9" s="6" t="s">
        <v>1427</v>
      </c>
      <c r="G9" s="6" t="s">
        <v>1428</v>
      </c>
    </row>
    <row r="10" spans="1:7" ht="30" customHeight="1">
      <c r="A10" s="4" t="s">
        <v>1429</v>
      </c>
      <c r="B10" s="4" t="s">
        <v>1430</v>
      </c>
      <c r="C10" s="4" t="s">
        <v>1431</v>
      </c>
      <c r="D10" s="4" t="s">
        <v>1432</v>
      </c>
      <c r="E10" s="4" t="s">
        <v>1433</v>
      </c>
      <c r="F10" s="4" t="s">
        <v>1434</v>
      </c>
      <c r="G10" s="4" t="s">
        <v>1435</v>
      </c>
    </row>
    <row r="11" spans="1:7" ht="38" customHeight="1">
      <c r="A11" s="6" t="s">
        <v>1436</v>
      </c>
      <c r="B11" s="6" t="s">
        <v>1437</v>
      </c>
      <c r="C11" s="6" t="s">
        <v>1438</v>
      </c>
      <c r="D11" s="6" t="s">
        <v>1439</v>
      </c>
      <c r="E11" s="6" t="s">
        <v>1440</v>
      </c>
      <c r="F11" s="6" t="s">
        <v>1441</v>
      </c>
      <c r="G11" s="6" t="s">
        <v>1442</v>
      </c>
    </row>
    <row r="12" spans="1:7" ht="30" customHeight="1">
      <c r="A12" s="4" t="s">
        <v>1443</v>
      </c>
      <c r="B12" s="4" t="s">
        <v>1444</v>
      </c>
      <c r="C12" s="4" t="s">
        <v>1445</v>
      </c>
      <c r="D12" s="4" t="s">
        <v>1446</v>
      </c>
      <c r="E12" s="4" t="s">
        <v>1447</v>
      </c>
      <c r="F12" s="4" t="s">
        <v>1448</v>
      </c>
      <c r="G12" s="4" t="s">
        <v>1449</v>
      </c>
    </row>
    <row r="13" spans="1:7" ht="38" customHeight="1">
      <c r="A13" s="6" t="s">
        <v>1450</v>
      </c>
      <c r="B13" s="6" t="s">
        <v>1430</v>
      </c>
      <c r="C13" s="6" t="s">
        <v>1451</v>
      </c>
      <c r="D13" s="6" t="s">
        <v>1452</v>
      </c>
      <c r="E13" s="6" t="s">
        <v>1453</v>
      </c>
      <c r="F13" s="6" t="s">
        <v>1454</v>
      </c>
      <c r="G13" s="6" t="s">
        <v>1455</v>
      </c>
    </row>
    <row r="14" spans="1:7" ht="30" customHeight="1">
      <c r="A14" s="4" t="s">
        <v>1456</v>
      </c>
      <c r="B14" s="4" t="s">
        <v>1430</v>
      </c>
      <c r="C14" s="4" t="s">
        <v>1457</v>
      </c>
      <c r="D14" s="4" t="s">
        <v>1458</v>
      </c>
      <c r="E14" s="4" t="s">
        <v>1459</v>
      </c>
      <c r="F14" s="4" t="s">
        <v>1460</v>
      </c>
      <c r="G14" s="4" t="s">
        <v>1461</v>
      </c>
    </row>
    <row r="15" spans="1:7" ht="30" customHeight="1">
      <c r="A15" s="6" t="s">
        <v>1462</v>
      </c>
      <c r="B15" s="6" t="s">
        <v>1430</v>
      </c>
      <c r="C15" s="6" t="s">
        <v>1463</v>
      </c>
      <c r="D15" s="6" t="s">
        <v>1464</v>
      </c>
      <c r="E15" s="6" t="s">
        <v>1465</v>
      </c>
      <c r="F15" s="6" t="s">
        <v>1466</v>
      </c>
      <c r="G15" s="6" t="s">
        <v>1467</v>
      </c>
    </row>
    <row r="16" spans="1:7" ht="30" customHeight="1">
      <c r="A16" s="4" t="s">
        <v>1468</v>
      </c>
      <c r="B16" s="4" t="s">
        <v>1430</v>
      </c>
      <c r="C16" s="4" t="s">
        <v>1469</v>
      </c>
      <c r="D16" s="4" t="s">
        <v>1470</v>
      </c>
      <c r="E16" s="4" t="s">
        <v>1471</v>
      </c>
      <c r="F16" s="4" t="s">
        <v>1472</v>
      </c>
      <c r="G16" s="4" t="s">
        <v>1473</v>
      </c>
    </row>
    <row r="17" spans="1:7" ht="30" customHeight="1">
      <c r="A17" s="6" t="s">
        <v>1474</v>
      </c>
      <c r="B17" s="6" t="s">
        <v>1430</v>
      </c>
      <c r="C17" s="6" t="s">
        <v>1475</v>
      </c>
      <c r="D17" s="6" t="s">
        <v>1476</v>
      </c>
      <c r="E17" s="6" t="s">
        <v>1477</v>
      </c>
      <c r="F17" s="6" t="s">
        <v>1478</v>
      </c>
      <c r="G17" s="6" t="s">
        <v>1479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9"/>
  <sheetViews>
    <sheetView showGridLines="0" workbookViewId="0">
      <pane xSplit="2" ySplit="5" topLeftCell="E6" activePane="bottomRight" state="frozen"/>
      <selection pane="topRight"/>
      <selection pane="bottomLeft"/>
      <selection pane="bottomRight" activeCell="E6" sqref="E6"/>
    </sheetView>
  </sheetViews>
  <sheetFormatPr defaultRowHeight="14"/>
  <cols>
    <col min="1" max="1" width="14" customWidth="1"/>
    <col min="2" max="2" width="36" customWidth="1"/>
    <col min="3" max="3" width="59" customWidth="1"/>
    <col min="4" max="4" width="61" customWidth="1"/>
    <col min="5" max="5" width="120" customWidth="1"/>
  </cols>
  <sheetData>
    <row r="1" spans="1:5">
      <c r="A1" s="1"/>
      <c r="B1" s="1"/>
      <c r="C1" s="1"/>
      <c r="D1" s="1"/>
      <c r="E1" s="1"/>
    </row>
    <row r="2" spans="1:5" ht="18">
      <c r="A2" s="2" t="s">
        <v>1480</v>
      </c>
      <c r="B2" s="1"/>
      <c r="C2" s="1"/>
      <c r="D2" s="1"/>
      <c r="E2" s="1"/>
    </row>
    <row r="3" spans="1:5" ht="26" customHeight="1">
      <c r="A3" s="3" t="s">
        <v>1481</v>
      </c>
      <c r="B3" s="1"/>
      <c r="C3" s="1"/>
      <c r="D3" s="1"/>
      <c r="E3" s="1"/>
    </row>
    <row r="4" spans="1:5">
      <c r="A4" s="1"/>
      <c r="B4" s="1"/>
      <c r="C4" s="1"/>
      <c r="D4" s="1"/>
      <c r="E4" s="1"/>
    </row>
    <row r="5" spans="1:5" ht="34" customHeight="1">
      <c r="A5" s="5" t="s">
        <v>1228</v>
      </c>
      <c r="B5" s="5" t="s">
        <v>1482</v>
      </c>
      <c r="C5" s="5" t="s">
        <v>1483</v>
      </c>
      <c r="D5" s="5" t="s">
        <v>1484</v>
      </c>
      <c r="E5" s="5" t="s">
        <v>1485</v>
      </c>
    </row>
    <row r="6" spans="1:5" ht="30" customHeight="1">
      <c r="A6" s="4" t="s">
        <v>267</v>
      </c>
      <c r="B6" s="4" t="s">
        <v>1486</v>
      </c>
      <c r="C6" s="4" t="s">
        <v>1487</v>
      </c>
      <c r="D6" s="4" t="s">
        <v>1488</v>
      </c>
      <c r="E6" s="4" t="s">
        <v>1489</v>
      </c>
    </row>
    <row r="7" spans="1:5" ht="30" customHeight="1">
      <c r="A7" s="6" t="s">
        <v>1490</v>
      </c>
      <c r="B7" s="6" t="s">
        <v>32</v>
      </c>
      <c r="C7" s="6" t="s">
        <v>1491</v>
      </c>
      <c r="D7" s="6" t="s">
        <v>1492</v>
      </c>
      <c r="E7" s="6" t="s">
        <v>1493</v>
      </c>
    </row>
    <row r="8" spans="1:5" ht="30" customHeight="1">
      <c r="A8" s="4" t="s">
        <v>1494</v>
      </c>
      <c r="B8" s="4" t="s">
        <v>32</v>
      </c>
      <c r="C8" s="4" t="s">
        <v>789</v>
      </c>
      <c r="D8" s="4" t="s">
        <v>1495</v>
      </c>
      <c r="E8" s="4" t="s">
        <v>1496</v>
      </c>
    </row>
    <row r="9" spans="1:5" ht="30" customHeight="1">
      <c r="A9" s="6" t="s">
        <v>1497</v>
      </c>
      <c r="B9" s="6" t="s">
        <v>32</v>
      </c>
      <c r="C9" s="6" t="s">
        <v>1498</v>
      </c>
      <c r="D9" s="6" t="s">
        <v>1499</v>
      </c>
      <c r="E9" s="6" t="s">
        <v>1500</v>
      </c>
    </row>
    <row r="10" spans="1:5" ht="38" customHeight="1">
      <c r="A10" s="4" t="s">
        <v>1501</v>
      </c>
      <c r="B10" s="4" t="s">
        <v>32</v>
      </c>
      <c r="C10" s="4" t="s">
        <v>1502</v>
      </c>
      <c r="D10" s="4" t="s">
        <v>1503</v>
      </c>
      <c r="E10" s="4" t="s">
        <v>1504</v>
      </c>
    </row>
    <row r="11" spans="1:5" ht="30" customHeight="1">
      <c r="A11" s="6" t="s">
        <v>1505</v>
      </c>
      <c r="B11" s="6" t="s">
        <v>32</v>
      </c>
      <c r="C11" s="6" t="s">
        <v>1506</v>
      </c>
      <c r="D11" s="6" t="s">
        <v>1507</v>
      </c>
      <c r="E11" s="6" t="s">
        <v>1508</v>
      </c>
    </row>
    <row r="12" spans="1:5" ht="30" customHeight="1">
      <c r="A12" s="4" t="s">
        <v>1509</v>
      </c>
      <c r="B12" s="4" t="s">
        <v>11</v>
      </c>
      <c r="C12" s="4" t="s">
        <v>1510</v>
      </c>
      <c r="D12" s="4" t="s">
        <v>1511</v>
      </c>
      <c r="E12" s="4" t="s">
        <v>1512</v>
      </c>
    </row>
    <row r="13" spans="1:5" ht="30" customHeight="1">
      <c r="A13" s="6" t="s">
        <v>1513</v>
      </c>
      <c r="B13" s="6" t="s">
        <v>11</v>
      </c>
      <c r="C13" s="6" t="s">
        <v>1514</v>
      </c>
      <c r="D13" s="6" t="s">
        <v>1507</v>
      </c>
      <c r="E13" s="6" t="s">
        <v>1515</v>
      </c>
    </row>
    <row r="14" spans="1:5" ht="30" customHeight="1">
      <c r="A14" s="4" t="s">
        <v>1516</v>
      </c>
      <c r="B14" s="4" t="s">
        <v>11</v>
      </c>
      <c r="C14" s="4" t="s">
        <v>1517</v>
      </c>
      <c r="D14" s="4" t="s">
        <v>1518</v>
      </c>
      <c r="E14" s="4" t="s">
        <v>1519</v>
      </c>
    </row>
    <row r="15" spans="1:5" ht="30" customHeight="1">
      <c r="A15" s="6" t="s">
        <v>1520</v>
      </c>
      <c r="B15" s="6" t="s">
        <v>11</v>
      </c>
      <c r="C15" s="6" t="s">
        <v>1506</v>
      </c>
      <c r="D15" s="6" t="s">
        <v>1507</v>
      </c>
      <c r="E15" s="6" t="s">
        <v>1508</v>
      </c>
    </row>
    <row r="16" spans="1:5" ht="30" customHeight="1">
      <c r="A16" s="4" t="s">
        <v>1521</v>
      </c>
      <c r="B16" s="4" t="s">
        <v>25</v>
      </c>
      <c r="C16" s="4" t="s">
        <v>1522</v>
      </c>
      <c r="D16" s="4" t="s">
        <v>1523</v>
      </c>
      <c r="E16" s="4" t="s">
        <v>1524</v>
      </c>
    </row>
    <row r="17" spans="1:5" ht="30" customHeight="1">
      <c r="A17" s="6" t="s">
        <v>1525</v>
      </c>
      <c r="B17" s="6" t="s">
        <v>25</v>
      </c>
      <c r="C17" s="6" t="s">
        <v>1526</v>
      </c>
      <c r="D17" s="6" t="s">
        <v>1527</v>
      </c>
      <c r="E17" s="6" t="s">
        <v>1528</v>
      </c>
    </row>
    <row r="18" spans="1:5" ht="30" customHeight="1">
      <c r="A18" s="4" t="s">
        <v>1529</v>
      </c>
      <c r="B18" s="4" t="s">
        <v>25</v>
      </c>
      <c r="C18" s="4" t="s">
        <v>1530</v>
      </c>
      <c r="D18" s="4" t="s">
        <v>1531</v>
      </c>
      <c r="E18" s="4" t="s">
        <v>1532</v>
      </c>
    </row>
    <row r="19" spans="1:5" ht="38" customHeight="1">
      <c r="A19" s="6" t="s">
        <v>1533</v>
      </c>
      <c r="B19" s="6" t="s">
        <v>25</v>
      </c>
      <c r="C19" s="6" t="s">
        <v>1534</v>
      </c>
      <c r="D19" s="6" t="s">
        <v>1535</v>
      </c>
      <c r="E19" s="6" t="s">
        <v>1536</v>
      </c>
    </row>
    <row r="20" spans="1:5" ht="30" customHeight="1">
      <c r="A20" s="4" t="s">
        <v>1537</v>
      </c>
      <c r="B20" s="4" t="s">
        <v>25</v>
      </c>
      <c r="C20" s="4" t="s">
        <v>835</v>
      </c>
      <c r="D20" s="4" t="s">
        <v>1538</v>
      </c>
      <c r="E20" s="4" t="s">
        <v>1539</v>
      </c>
    </row>
    <row r="21" spans="1:5" ht="30" customHeight="1">
      <c r="A21" s="6" t="s">
        <v>1540</v>
      </c>
      <c r="B21" s="6" t="s">
        <v>25</v>
      </c>
      <c r="C21" s="6" t="s">
        <v>1541</v>
      </c>
      <c r="D21" s="6" t="s">
        <v>1542</v>
      </c>
      <c r="E21" s="6" t="s">
        <v>1543</v>
      </c>
    </row>
    <row r="22" spans="1:5" ht="30" customHeight="1">
      <c r="A22" s="4" t="s">
        <v>1544</v>
      </c>
      <c r="B22" s="4" t="s">
        <v>18</v>
      </c>
      <c r="C22" s="4" t="s">
        <v>1545</v>
      </c>
      <c r="D22" s="4" t="s">
        <v>1546</v>
      </c>
      <c r="E22" s="4" t="s">
        <v>1547</v>
      </c>
    </row>
    <row r="23" spans="1:5" ht="30" customHeight="1">
      <c r="A23" s="6" t="s">
        <v>1548</v>
      </c>
      <c r="B23" s="6" t="s">
        <v>18</v>
      </c>
      <c r="C23" s="6" t="s">
        <v>1549</v>
      </c>
      <c r="D23" s="6" t="s">
        <v>1550</v>
      </c>
      <c r="E23" s="6" t="s">
        <v>1551</v>
      </c>
    </row>
    <row r="24" spans="1:5" ht="30" customHeight="1">
      <c r="A24" s="4" t="s">
        <v>1552</v>
      </c>
      <c r="B24" s="4" t="s">
        <v>18</v>
      </c>
      <c r="C24" s="4" t="s">
        <v>1553</v>
      </c>
      <c r="D24" s="4" t="s">
        <v>1550</v>
      </c>
      <c r="E24" s="4" t="s">
        <v>1442</v>
      </c>
    </row>
    <row r="25" spans="1:5" ht="30" customHeight="1">
      <c r="A25" s="6" t="s">
        <v>1554</v>
      </c>
      <c r="B25" s="6" t="s">
        <v>18</v>
      </c>
      <c r="C25" s="6" t="s">
        <v>1555</v>
      </c>
      <c r="D25" s="6" t="s">
        <v>1523</v>
      </c>
      <c r="E25" s="6" t="s">
        <v>1556</v>
      </c>
    </row>
    <row r="26" spans="1:5" ht="30" customHeight="1">
      <c r="A26" s="4" t="s">
        <v>1557</v>
      </c>
      <c r="B26" s="4" t="s">
        <v>18</v>
      </c>
      <c r="C26" s="4" t="s">
        <v>1506</v>
      </c>
      <c r="D26" s="4" t="s">
        <v>1507</v>
      </c>
      <c r="E26" s="4" t="s">
        <v>1508</v>
      </c>
    </row>
    <row r="27" spans="1:5" ht="30" customHeight="1">
      <c r="A27" s="6" t="s">
        <v>1558</v>
      </c>
      <c r="B27" s="6" t="s">
        <v>39</v>
      </c>
      <c r="C27" s="6" t="s">
        <v>1559</v>
      </c>
      <c r="D27" s="6" t="s">
        <v>1560</v>
      </c>
      <c r="E27" s="6" t="s">
        <v>1561</v>
      </c>
    </row>
    <row r="28" spans="1:5" ht="30" customHeight="1">
      <c r="A28" s="4" t="s">
        <v>1562</v>
      </c>
      <c r="B28" s="4" t="s">
        <v>39</v>
      </c>
      <c r="C28" s="4" t="s">
        <v>1563</v>
      </c>
      <c r="D28" s="4" t="s">
        <v>1564</v>
      </c>
      <c r="E28" s="4" t="s">
        <v>1565</v>
      </c>
    </row>
    <row r="29" spans="1:5" ht="38" customHeight="1">
      <c r="A29" s="6" t="s">
        <v>1566</v>
      </c>
      <c r="B29" s="6" t="s">
        <v>39</v>
      </c>
      <c r="C29" s="6" t="s">
        <v>1567</v>
      </c>
      <c r="D29" s="6" t="s">
        <v>1568</v>
      </c>
      <c r="E29" s="6" t="s">
        <v>1569</v>
      </c>
    </row>
    <row r="30" spans="1:5" ht="38" customHeight="1">
      <c r="A30" s="4" t="s">
        <v>1570</v>
      </c>
      <c r="B30" s="4" t="s">
        <v>39</v>
      </c>
      <c r="C30" s="4" t="s">
        <v>1571</v>
      </c>
      <c r="D30" s="4" t="s">
        <v>1572</v>
      </c>
      <c r="E30" s="4" t="s">
        <v>1573</v>
      </c>
    </row>
    <row r="31" spans="1:5" ht="38" customHeight="1">
      <c r="A31" s="6" t="s">
        <v>1574</v>
      </c>
      <c r="B31" s="6" t="s">
        <v>87</v>
      </c>
      <c r="C31" s="6" t="s">
        <v>1575</v>
      </c>
      <c r="D31" s="6" t="s">
        <v>1576</v>
      </c>
      <c r="E31" s="6" t="s">
        <v>1577</v>
      </c>
    </row>
    <row r="32" spans="1:5" ht="30" customHeight="1">
      <c r="A32" s="4" t="s">
        <v>1578</v>
      </c>
      <c r="B32" s="4" t="s">
        <v>87</v>
      </c>
      <c r="C32" s="4" t="s">
        <v>1579</v>
      </c>
      <c r="D32" s="4" t="s">
        <v>1580</v>
      </c>
      <c r="E32" s="4" t="s">
        <v>1581</v>
      </c>
    </row>
    <row r="33" spans="1:5" ht="30" customHeight="1">
      <c r="A33" s="6" t="s">
        <v>1582</v>
      </c>
      <c r="B33" s="6" t="s">
        <v>87</v>
      </c>
      <c r="C33" s="6" t="s">
        <v>1583</v>
      </c>
      <c r="D33" s="6" t="s">
        <v>1584</v>
      </c>
      <c r="E33" s="6" t="s">
        <v>1585</v>
      </c>
    </row>
    <row r="34" spans="1:5" ht="30" customHeight="1">
      <c r="A34" s="4" t="s">
        <v>1586</v>
      </c>
      <c r="B34" s="4" t="s">
        <v>87</v>
      </c>
      <c r="C34" s="4" t="s">
        <v>1587</v>
      </c>
      <c r="D34" s="4" t="s">
        <v>1507</v>
      </c>
      <c r="E34" s="4" t="s">
        <v>1588</v>
      </c>
    </row>
    <row r="35" spans="1:5" ht="30" customHeight="1">
      <c r="A35" s="6" t="s">
        <v>1589</v>
      </c>
      <c r="B35" s="6" t="s">
        <v>91</v>
      </c>
      <c r="C35" s="6" t="s">
        <v>1590</v>
      </c>
      <c r="D35" s="6" t="s">
        <v>1591</v>
      </c>
      <c r="E35" s="6" t="s">
        <v>1592</v>
      </c>
    </row>
    <row r="36" spans="1:5" ht="38" customHeight="1">
      <c r="A36" s="4" t="s">
        <v>1593</v>
      </c>
      <c r="B36" s="4" t="s">
        <v>91</v>
      </c>
      <c r="C36" s="4" t="s">
        <v>1594</v>
      </c>
      <c r="D36" s="4" t="s">
        <v>1568</v>
      </c>
      <c r="E36" s="4" t="s">
        <v>1595</v>
      </c>
    </row>
    <row r="37" spans="1:5" ht="38" customHeight="1">
      <c r="A37" s="6" t="s">
        <v>1596</v>
      </c>
      <c r="B37" s="6" t="s">
        <v>91</v>
      </c>
      <c r="C37" s="6" t="s">
        <v>1597</v>
      </c>
      <c r="D37" s="6" t="s">
        <v>1598</v>
      </c>
      <c r="E37" s="6" t="s">
        <v>1599</v>
      </c>
    </row>
    <row r="38" spans="1:5" ht="30" customHeight="1">
      <c r="A38" s="4" t="s">
        <v>1600</v>
      </c>
      <c r="B38" s="4" t="s">
        <v>91</v>
      </c>
      <c r="C38" s="4" t="s">
        <v>1601</v>
      </c>
      <c r="D38" s="4" t="s">
        <v>1523</v>
      </c>
      <c r="E38" s="4" t="s">
        <v>1602</v>
      </c>
    </row>
    <row r="39" spans="1:5" ht="30" customHeight="1">
      <c r="A39" s="6" t="s">
        <v>1603</v>
      </c>
      <c r="B39" s="6" t="s">
        <v>95</v>
      </c>
      <c r="C39" s="6" t="s">
        <v>1604</v>
      </c>
      <c r="D39" s="6" t="s">
        <v>1605</v>
      </c>
      <c r="E39" s="6" t="s">
        <v>1606</v>
      </c>
    </row>
    <row r="40" spans="1:5" ht="30" customHeight="1">
      <c r="A40" s="4" t="s">
        <v>1607</v>
      </c>
      <c r="B40" s="4" t="s">
        <v>95</v>
      </c>
      <c r="C40" s="4" t="s">
        <v>1608</v>
      </c>
      <c r="D40" s="4" t="s">
        <v>1523</v>
      </c>
      <c r="E40" s="4" t="s">
        <v>1609</v>
      </c>
    </row>
    <row r="41" spans="1:5" ht="30" customHeight="1">
      <c r="A41" s="6" t="s">
        <v>1610</v>
      </c>
      <c r="B41" s="6" t="s">
        <v>95</v>
      </c>
      <c r="C41" s="6" t="s">
        <v>1611</v>
      </c>
      <c r="D41" s="6" t="s">
        <v>1612</v>
      </c>
      <c r="E41" s="6" t="s">
        <v>1613</v>
      </c>
    </row>
    <row r="42" spans="1:5" ht="38" customHeight="1">
      <c r="A42" s="4" t="s">
        <v>1614</v>
      </c>
      <c r="B42" s="4" t="s">
        <v>95</v>
      </c>
      <c r="C42" s="4" t="s">
        <v>1615</v>
      </c>
      <c r="D42" s="4" t="s">
        <v>1535</v>
      </c>
      <c r="E42" s="4" t="s">
        <v>1616</v>
      </c>
    </row>
    <row r="43" spans="1:5" ht="30" customHeight="1">
      <c r="A43" s="6" t="s">
        <v>1617</v>
      </c>
      <c r="B43" s="6" t="s">
        <v>95</v>
      </c>
      <c r="C43" s="6" t="s">
        <v>1506</v>
      </c>
      <c r="D43" s="6" t="s">
        <v>1507</v>
      </c>
      <c r="E43" s="6" t="s">
        <v>1508</v>
      </c>
    </row>
    <row r="44" spans="1:5" ht="30" customHeight="1">
      <c r="A44" s="4" t="s">
        <v>1618</v>
      </c>
      <c r="B44" s="4" t="s">
        <v>99</v>
      </c>
      <c r="C44" s="4" t="s">
        <v>1619</v>
      </c>
      <c r="D44" s="4" t="s">
        <v>1620</v>
      </c>
      <c r="E44" s="4" t="s">
        <v>1621</v>
      </c>
    </row>
    <row r="45" spans="1:5" ht="30" customHeight="1">
      <c r="A45" s="6" t="s">
        <v>1622</v>
      </c>
      <c r="B45" s="6" t="s">
        <v>99</v>
      </c>
      <c r="C45" s="6" t="s">
        <v>1623</v>
      </c>
      <c r="D45" s="6" t="s">
        <v>1624</v>
      </c>
      <c r="E45" s="6" t="s">
        <v>1625</v>
      </c>
    </row>
    <row r="46" spans="1:5" ht="30" customHeight="1">
      <c r="A46" s="4" t="s">
        <v>1626</v>
      </c>
      <c r="B46" s="4" t="s">
        <v>99</v>
      </c>
      <c r="C46" s="4" t="s">
        <v>1627</v>
      </c>
      <c r="D46" s="4" t="s">
        <v>1628</v>
      </c>
      <c r="E46" s="4" t="s">
        <v>1629</v>
      </c>
    </row>
    <row r="47" spans="1:5" ht="30" customHeight="1">
      <c r="A47" s="6" t="s">
        <v>1630</v>
      </c>
      <c r="B47" s="6" t="s">
        <v>102</v>
      </c>
      <c r="C47" s="6" t="s">
        <v>1631</v>
      </c>
      <c r="D47" s="6" t="s">
        <v>1632</v>
      </c>
      <c r="E47" s="6" t="s">
        <v>1633</v>
      </c>
    </row>
    <row r="48" spans="1:5" ht="30" customHeight="1">
      <c r="A48" s="4" t="s">
        <v>1634</v>
      </c>
      <c r="B48" s="4" t="s">
        <v>102</v>
      </c>
      <c r="C48" s="4" t="s">
        <v>1635</v>
      </c>
      <c r="D48" s="4" t="s">
        <v>1632</v>
      </c>
      <c r="E48" s="4" t="s">
        <v>1636</v>
      </c>
    </row>
    <row r="49" spans="1:5" ht="30" customHeight="1">
      <c r="A49" s="6" t="s">
        <v>1637</v>
      </c>
      <c r="B49" s="6" t="s">
        <v>102</v>
      </c>
      <c r="C49" s="6" t="s">
        <v>1555</v>
      </c>
      <c r="D49" s="6" t="s">
        <v>1523</v>
      </c>
      <c r="E49" s="6" t="s">
        <v>1638</v>
      </c>
    </row>
    <row r="50" spans="1:5" ht="30" customHeight="1">
      <c r="A50" s="4" t="s">
        <v>1639</v>
      </c>
      <c r="B50" s="4" t="s">
        <v>102</v>
      </c>
      <c r="C50" s="4" t="s">
        <v>531</v>
      </c>
      <c r="D50" s="4" t="s">
        <v>1523</v>
      </c>
      <c r="E50" s="4" t="s">
        <v>1640</v>
      </c>
    </row>
    <row r="51" spans="1:5" ht="30" customHeight="1">
      <c r="A51" s="6" t="s">
        <v>1641</v>
      </c>
      <c r="B51" s="6" t="s">
        <v>106</v>
      </c>
      <c r="C51" s="6" t="s">
        <v>1642</v>
      </c>
      <c r="D51" s="6" t="s">
        <v>1643</v>
      </c>
      <c r="E51" s="6" t="s">
        <v>1644</v>
      </c>
    </row>
    <row r="52" spans="1:5" ht="38" customHeight="1">
      <c r="A52" s="4" t="s">
        <v>1645</v>
      </c>
      <c r="B52" s="4" t="s">
        <v>106</v>
      </c>
      <c r="C52" s="4" t="s">
        <v>1646</v>
      </c>
      <c r="D52" s="4" t="s">
        <v>1535</v>
      </c>
      <c r="E52" s="4" t="s">
        <v>1647</v>
      </c>
    </row>
    <row r="53" spans="1:5" ht="30" customHeight="1">
      <c r="A53" s="6" t="s">
        <v>1648</v>
      </c>
      <c r="B53" s="6" t="s">
        <v>106</v>
      </c>
      <c r="C53" s="6" t="s">
        <v>1649</v>
      </c>
      <c r="D53" s="6" t="s">
        <v>1650</v>
      </c>
      <c r="E53" s="6" t="s">
        <v>1651</v>
      </c>
    </row>
    <row r="54" spans="1:5" ht="30" customHeight="1">
      <c r="A54" s="4" t="s">
        <v>1652</v>
      </c>
      <c r="B54" s="4" t="s">
        <v>106</v>
      </c>
      <c r="C54" s="4" t="s">
        <v>1653</v>
      </c>
      <c r="D54" s="4" t="s">
        <v>1654</v>
      </c>
      <c r="E54" s="4" t="s">
        <v>1655</v>
      </c>
    </row>
    <row r="55" spans="1:5" ht="38" customHeight="1">
      <c r="A55" s="6" t="s">
        <v>1656</v>
      </c>
      <c r="B55" s="6" t="s">
        <v>106</v>
      </c>
      <c r="C55" s="6" t="s">
        <v>1657</v>
      </c>
      <c r="D55" s="6" t="s">
        <v>1535</v>
      </c>
      <c r="E55" s="6" t="s">
        <v>1658</v>
      </c>
    </row>
    <row r="56" spans="1:5" ht="30" customHeight="1">
      <c r="A56" s="4" t="s">
        <v>1659</v>
      </c>
      <c r="B56" s="4" t="s">
        <v>109</v>
      </c>
      <c r="C56" s="4" t="s">
        <v>1563</v>
      </c>
      <c r="D56" s="4" t="s">
        <v>1660</v>
      </c>
      <c r="E56" s="4" t="s">
        <v>1661</v>
      </c>
    </row>
    <row r="57" spans="1:5" ht="30" customHeight="1">
      <c r="A57" s="6" t="s">
        <v>1662</v>
      </c>
      <c r="B57" s="6" t="s">
        <v>109</v>
      </c>
      <c r="C57" s="6" t="s">
        <v>1663</v>
      </c>
      <c r="D57" s="6" t="s">
        <v>1538</v>
      </c>
      <c r="E57" s="6" t="s">
        <v>1664</v>
      </c>
    </row>
    <row r="58" spans="1:5" ht="38" customHeight="1">
      <c r="A58" s="4" t="s">
        <v>1665</v>
      </c>
      <c r="B58" s="4" t="s">
        <v>109</v>
      </c>
      <c r="C58" s="4" t="s">
        <v>1666</v>
      </c>
      <c r="D58" s="4" t="s">
        <v>1568</v>
      </c>
      <c r="E58" s="4" t="s">
        <v>1667</v>
      </c>
    </row>
    <row r="59" spans="1:5" ht="30" customHeight="1">
      <c r="A59" s="6" t="s">
        <v>1668</v>
      </c>
      <c r="B59" s="6" t="s">
        <v>112</v>
      </c>
      <c r="C59" s="6" t="s">
        <v>1669</v>
      </c>
      <c r="D59" s="6" t="s">
        <v>1591</v>
      </c>
      <c r="E59" s="6" t="s">
        <v>1670</v>
      </c>
    </row>
    <row r="60" spans="1:5" ht="38" customHeight="1">
      <c r="A60" s="4" t="s">
        <v>1671</v>
      </c>
      <c r="B60" s="4" t="s">
        <v>112</v>
      </c>
      <c r="C60" s="4" t="s">
        <v>1672</v>
      </c>
      <c r="D60" s="4" t="s">
        <v>1598</v>
      </c>
      <c r="E60" s="4" t="s">
        <v>1673</v>
      </c>
    </row>
    <row r="61" spans="1:5" ht="38" customHeight="1">
      <c r="A61" s="6" t="s">
        <v>1674</v>
      </c>
      <c r="B61" s="6" t="s">
        <v>115</v>
      </c>
      <c r="C61" s="6" t="s">
        <v>1675</v>
      </c>
      <c r="D61" s="6" t="s">
        <v>1535</v>
      </c>
      <c r="E61" s="6" t="s">
        <v>1676</v>
      </c>
    </row>
    <row r="62" spans="1:5" ht="38" customHeight="1">
      <c r="A62" s="4" t="s">
        <v>1677</v>
      </c>
      <c r="B62" s="4" t="s">
        <v>115</v>
      </c>
      <c r="C62" s="4" t="s">
        <v>1678</v>
      </c>
      <c r="D62" s="4" t="s">
        <v>1679</v>
      </c>
      <c r="E62" s="4" t="s">
        <v>1680</v>
      </c>
    </row>
    <row r="63" spans="1:5" ht="38" customHeight="1">
      <c r="A63" s="6" t="s">
        <v>1681</v>
      </c>
      <c r="B63" s="6" t="s">
        <v>118</v>
      </c>
      <c r="C63" s="6" t="s">
        <v>1682</v>
      </c>
      <c r="D63" s="6" t="s">
        <v>1683</v>
      </c>
      <c r="E63" s="6" t="s">
        <v>1684</v>
      </c>
    </row>
    <row r="64" spans="1:5" ht="30" customHeight="1">
      <c r="A64" s="4" t="s">
        <v>1685</v>
      </c>
      <c r="B64" s="4" t="s">
        <v>118</v>
      </c>
      <c r="C64" s="4" t="s">
        <v>1686</v>
      </c>
      <c r="D64" s="4" t="s">
        <v>1538</v>
      </c>
      <c r="E64" s="4" t="s">
        <v>1687</v>
      </c>
    </row>
    <row r="65" spans="1:5" ht="30" customHeight="1">
      <c r="A65" s="6" t="s">
        <v>1688</v>
      </c>
      <c r="B65" s="6" t="s">
        <v>118</v>
      </c>
      <c r="C65" s="6" t="s">
        <v>1506</v>
      </c>
      <c r="D65" s="6" t="s">
        <v>1507</v>
      </c>
      <c r="E65" s="6" t="s">
        <v>1508</v>
      </c>
    </row>
    <row r="66" spans="1:5" ht="30" customHeight="1">
      <c r="A66" s="4" t="s">
        <v>1689</v>
      </c>
      <c r="B66" s="4" t="s">
        <v>118</v>
      </c>
      <c r="C66" s="4" t="s">
        <v>1690</v>
      </c>
      <c r="D66" s="4" t="s">
        <v>1691</v>
      </c>
      <c r="E66" s="4" t="s">
        <v>1692</v>
      </c>
    </row>
    <row r="67" spans="1:5" ht="30" customHeight="1">
      <c r="A67" s="6" t="s">
        <v>1693</v>
      </c>
      <c r="B67" s="6" t="s">
        <v>121</v>
      </c>
      <c r="C67" s="6" t="s">
        <v>1694</v>
      </c>
      <c r="D67" s="6" t="s">
        <v>1695</v>
      </c>
      <c r="E67" s="6" t="s">
        <v>1696</v>
      </c>
    </row>
    <row r="68" spans="1:5" ht="30" customHeight="1">
      <c r="A68" s="4" t="s">
        <v>1697</v>
      </c>
      <c r="B68" s="4" t="s">
        <v>121</v>
      </c>
      <c r="C68" s="4" t="s">
        <v>1698</v>
      </c>
      <c r="D68" s="4" t="s">
        <v>1507</v>
      </c>
      <c r="E68" s="4" t="s">
        <v>1699</v>
      </c>
    </row>
    <row r="69" spans="1:5" ht="30" customHeight="1">
      <c r="A69" s="6" t="s">
        <v>1700</v>
      </c>
      <c r="B69" s="6" t="s">
        <v>125</v>
      </c>
      <c r="C69" s="6" t="s">
        <v>1701</v>
      </c>
      <c r="D69" s="6" t="s">
        <v>1702</v>
      </c>
      <c r="E69" s="6" t="s">
        <v>1703</v>
      </c>
    </row>
    <row r="70" spans="1:5" ht="30" customHeight="1">
      <c r="A70" s="4" t="s">
        <v>1704</v>
      </c>
      <c r="B70" s="4" t="s">
        <v>125</v>
      </c>
      <c r="C70" s="4" t="s">
        <v>2</v>
      </c>
      <c r="D70" s="4" t="s">
        <v>1705</v>
      </c>
      <c r="E70" s="4" t="s">
        <v>1706</v>
      </c>
    </row>
    <row r="71" spans="1:5" ht="38" customHeight="1">
      <c r="A71" s="6" t="s">
        <v>1707</v>
      </c>
      <c r="B71" s="6" t="s">
        <v>128</v>
      </c>
      <c r="C71" s="6" t="s">
        <v>1708</v>
      </c>
      <c r="D71" s="6" t="s">
        <v>1535</v>
      </c>
      <c r="E71" s="6" t="s">
        <v>1709</v>
      </c>
    </row>
    <row r="72" spans="1:5" ht="30" customHeight="1">
      <c r="A72" s="4" t="s">
        <v>1710</v>
      </c>
      <c r="B72" s="4" t="s">
        <v>128</v>
      </c>
      <c r="C72" s="4" t="s">
        <v>1711</v>
      </c>
      <c r="D72" s="4" t="s">
        <v>1712</v>
      </c>
      <c r="E72" s="4" t="s">
        <v>1713</v>
      </c>
    </row>
    <row r="73" spans="1:5" ht="38" customHeight="1">
      <c r="A73" s="6" t="s">
        <v>1714</v>
      </c>
      <c r="B73" s="6" t="s">
        <v>128</v>
      </c>
      <c r="C73" s="6" t="s">
        <v>1715</v>
      </c>
      <c r="D73" s="6" t="s">
        <v>1568</v>
      </c>
      <c r="E73" s="6" t="s">
        <v>1716</v>
      </c>
    </row>
    <row r="74" spans="1:5" ht="38" customHeight="1">
      <c r="A74" s="4" t="s">
        <v>1717</v>
      </c>
      <c r="B74" s="4" t="s">
        <v>133</v>
      </c>
      <c r="C74" s="4" t="s">
        <v>1718</v>
      </c>
      <c r="D74" s="4" t="s">
        <v>1719</v>
      </c>
      <c r="E74" s="4" t="s">
        <v>1720</v>
      </c>
    </row>
    <row r="75" spans="1:5" ht="30" customHeight="1">
      <c r="A75" s="6" t="s">
        <v>1721</v>
      </c>
      <c r="B75" s="6" t="s">
        <v>133</v>
      </c>
      <c r="C75" s="6" t="s">
        <v>1722</v>
      </c>
      <c r="D75" s="6" t="s">
        <v>1591</v>
      </c>
      <c r="E75" s="6" t="s">
        <v>1723</v>
      </c>
    </row>
    <row r="76" spans="1:5" ht="30" customHeight="1">
      <c r="A76" s="4" t="s">
        <v>1724</v>
      </c>
      <c r="B76" s="4" t="s">
        <v>136</v>
      </c>
      <c r="C76" s="4" t="s">
        <v>1725</v>
      </c>
      <c r="D76" s="4" t="s">
        <v>1726</v>
      </c>
      <c r="E76" s="4" t="s">
        <v>1727</v>
      </c>
    </row>
    <row r="77" spans="1:5" ht="30" customHeight="1">
      <c r="A77" s="6" t="s">
        <v>1728</v>
      </c>
      <c r="B77" s="6" t="s">
        <v>136</v>
      </c>
      <c r="C77" s="6" t="s">
        <v>1729</v>
      </c>
      <c r="D77" s="6" t="s">
        <v>1507</v>
      </c>
      <c r="E77" s="6" t="s">
        <v>1730</v>
      </c>
    </row>
    <row r="78" spans="1:5" ht="30" customHeight="1">
      <c r="A78" s="4" t="s">
        <v>1731</v>
      </c>
      <c r="B78" s="4" t="s">
        <v>136</v>
      </c>
      <c r="C78" s="4" t="s">
        <v>1732</v>
      </c>
      <c r="D78" s="4" t="s">
        <v>1733</v>
      </c>
      <c r="E78" s="4" t="s">
        <v>1734</v>
      </c>
    </row>
    <row r="79" spans="1:5" ht="30" customHeight="1">
      <c r="A79" s="6" t="s">
        <v>1735</v>
      </c>
      <c r="B79" s="6" t="s">
        <v>139</v>
      </c>
      <c r="C79" s="6" t="s">
        <v>1736</v>
      </c>
      <c r="D79" s="6" t="s">
        <v>1523</v>
      </c>
      <c r="E79" s="6" t="s">
        <v>1737</v>
      </c>
    </row>
    <row r="80" spans="1:5" ht="38" customHeight="1">
      <c r="A80" s="4" t="s">
        <v>1738</v>
      </c>
      <c r="B80" s="4" t="s">
        <v>139</v>
      </c>
      <c r="C80" s="4" t="s">
        <v>1739</v>
      </c>
      <c r="D80" s="4" t="s">
        <v>1535</v>
      </c>
      <c r="E80" s="4" t="s">
        <v>1740</v>
      </c>
    </row>
    <row r="81" spans="1:5" ht="30" customHeight="1">
      <c r="A81" s="6" t="s">
        <v>1741</v>
      </c>
      <c r="B81" s="6" t="s">
        <v>142</v>
      </c>
      <c r="C81" s="6" t="s">
        <v>1742</v>
      </c>
      <c r="D81" s="6" t="s">
        <v>1743</v>
      </c>
      <c r="E81" s="6" t="s">
        <v>1744</v>
      </c>
    </row>
    <row r="82" spans="1:5" ht="30" customHeight="1">
      <c r="A82" s="4" t="s">
        <v>1745</v>
      </c>
      <c r="B82" s="4" t="s">
        <v>142</v>
      </c>
      <c r="C82" s="4" t="s">
        <v>1746</v>
      </c>
      <c r="D82" s="4" t="s">
        <v>1747</v>
      </c>
      <c r="E82" s="4" t="s">
        <v>1748</v>
      </c>
    </row>
    <row r="83" spans="1:5" ht="30" customHeight="1">
      <c r="A83" s="6" t="s">
        <v>1749</v>
      </c>
      <c r="B83" s="6" t="s">
        <v>142</v>
      </c>
      <c r="C83" s="6" t="s">
        <v>1750</v>
      </c>
      <c r="D83" s="6" t="s">
        <v>1751</v>
      </c>
      <c r="E83" s="6" t="s">
        <v>1752</v>
      </c>
    </row>
    <row r="84" spans="1:5" ht="30" customHeight="1">
      <c r="A84" s="4" t="s">
        <v>1753</v>
      </c>
      <c r="B84" s="4" t="s">
        <v>145</v>
      </c>
      <c r="C84" s="4" t="s">
        <v>1754</v>
      </c>
      <c r="D84" s="4" t="s">
        <v>1755</v>
      </c>
      <c r="E84" s="4" t="s">
        <v>1756</v>
      </c>
    </row>
    <row r="85" spans="1:5" ht="30" customHeight="1">
      <c r="A85" s="6" t="s">
        <v>1757</v>
      </c>
      <c r="B85" s="6" t="s">
        <v>145</v>
      </c>
      <c r="C85" s="6" t="s">
        <v>1758</v>
      </c>
      <c r="D85" s="6" t="s">
        <v>1759</v>
      </c>
      <c r="E85" s="6" t="s">
        <v>1760</v>
      </c>
    </row>
    <row r="86" spans="1:5" ht="30" customHeight="1">
      <c r="A86" s="4" t="s">
        <v>1761</v>
      </c>
      <c r="B86" s="4" t="s">
        <v>149</v>
      </c>
      <c r="C86" s="4" t="s">
        <v>495</v>
      </c>
      <c r="D86" s="4" t="s">
        <v>1762</v>
      </c>
      <c r="E86" s="4" t="s">
        <v>1763</v>
      </c>
    </row>
    <row r="87" spans="1:5" ht="30" customHeight="1">
      <c r="A87" s="6" t="s">
        <v>1764</v>
      </c>
      <c r="B87" s="6" t="s">
        <v>149</v>
      </c>
      <c r="C87" s="6" t="s">
        <v>1765</v>
      </c>
      <c r="D87" s="6" t="s">
        <v>1762</v>
      </c>
      <c r="E87" s="6" t="s">
        <v>1766</v>
      </c>
    </row>
    <row r="88" spans="1:5" ht="30" customHeight="1">
      <c r="A88" s="4" t="s">
        <v>1767</v>
      </c>
      <c r="B88" s="4" t="s">
        <v>149</v>
      </c>
      <c r="C88" s="4" t="s">
        <v>1768</v>
      </c>
      <c r="D88" s="4" t="s">
        <v>1507</v>
      </c>
      <c r="E88" s="4" t="s">
        <v>1769</v>
      </c>
    </row>
    <row r="89" spans="1:5" ht="30" customHeight="1">
      <c r="A89" s="6" t="s">
        <v>1770</v>
      </c>
      <c r="B89" s="6" t="s">
        <v>149</v>
      </c>
      <c r="C89" s="6" t="s">
        <v>1771</v>
      </c>
      <c r="D89" s="6" t="s">
        <v>1772</v>
      </c>
      <c r="E89" s="6" t="s">
        <v>1773</v>
      </c>
    </row>
    <row r="90" spans="1:5" ht="30" customHeight="1">
      <c r="A90" s="4" t="s">
        <v>1774</v>
      </c>
      <c r="B90" s="4" t="s">
        <v>153</v>
      </c>
      <c r="C90" s="4" t="s">
        <v>1775</v>
      </c>
      <c r="D90" s="4" t="s">
        <v>1776</v>
      </c>
      <c r="E90" s="4" t="s">
        <v>1777</v>
      </c>
    </row>
    <row r="91" spans="1:5" ht="30" customHeight="1">
      <c r="A91" s="6" t="s">
        <v>1778</v>
      </c>
      <c r="B91" s="6" t="s">
        <v>153</v>
      </c>
      <c r="C91" s="6" t="s">
        <v>1779</v>
      </c>
      <c r="D91" s="6" t="s">
        <v>1776</v>
      </c>
      <c r="E91" s="6" t="s">
        <v>1780</v>
      </c>
    </row>
    <row r="92" spans="1:5" ht="30" customHeight="1">
      <c r="A92" s="4" t="s">
        <v>1781</v>
      </c>
      <c r="B92" s="4" t="s">
        <v>153</v>
      </c>
      <c r="C92" s="4" t="s">
        <v>1782</v>
      </c>
      <c r="D92" s="4" t="s">
        <v>1783</v>
      </c>
      <c r="E92" s="4" t="s">
        <v>1784</v>
      </c>
    </row>
    <row r="93" spans="1:5" ht="30" customHeight="1">
      <c r="A93" s="6" t="s">
        <v>1785</v>
      </c>
      <c r="B93" s="6" t="s">
        <v>158</v>
      </c>
      <c r="C93" s="6" t="s">
        <v>1786</v>
      </c>
      <c r="D93" s="6" t="s">
        <v>1787</v>
      </c>
      <c r="E93" s="6" t="s">
        <v>1788</v>
      </c>
    </row>
    <row r="94" spans="1:5" ht="38" customHeight="1">
      <c r="A94" s="4" t="s">
        <v>1789</v>
      </c>
      <c r="B94" s="4" t="s">
        <v>158</v>
      </c>
      <c r="C94" s="4" t="s">
        <v>1790</v>
      </c>
      <c r="D94" s="4" t="s">
        <v>1791</v>
      </c>
      <c r="E94" s="4" t="s">
        <v>1792</v>
      </c>
    </row>
    <row r="95" spans="1:5" ht="38" customHeight="1">
      <c r="A95" s="6" t="s">
        <v>1793</v>
      </c>
      <c r="B95" s="6" t="s">
        <v>158</v>
      </c>
      <c r="C95" s="6" t="s">
        <v>1794</v>
      </c>
      <c r="D95" s="6" t="s">
        <v>1795</v>
      </c>
      <c r="E95" s="6" t="s">
        <v>1796</v>
      </c>
    </row>
    <row r="96" spans="1:5" ht="30" customHeight="1">
      <c r="A96" s="4" t="s">
        <v>1797</v>
      </c>
      <c r="B96" s="4" t="s">
        <v>158</v>
      </c>
      <c r="C96" s="4" t="s">
        <v>2</v>
      </c>
      <c r="D96" s="4" t="s">
        <v>1798</v>
      </c>
      <c r="E96" s="4" t="s">
        <v>1799</v>
      </c>
    </row>
    <row r="97" spans="1:5" ht="30" customHeight="1">
      <c r="A97" s="6" t="s">
        <v>1800</v>
      </c>
      <c r="B97" s="6" t="s">
        <v>161</v>
      </c>
      <c r="C97" s="6" t="s">
        <v>1801</v>
      </c>
      <c r="D97" s="6" t="s">
        <v>1802</v>
      </c>
      <c r="E97" s="6" t="s">
        <v>1803</v>
      </c>
    </row>
    <row r="98" spans="1:5" ht="30" customHeight="1">
      <c r="A98" s="4" t="s">
        <v>1804</v>
      </c>
      <c r="B98" s="4" t="s">
        <v>161</v>
      </c>
      <c r="C98" s="4" t="s">
        <v>1805</v>
      </c>
      <c r="D98" s="4" t="s">
        <v>1538</v>
      </c>
      <c r="E98" s="4" t="s">
        <v>1806</v>
      </c>
    </row>
    <row r="99" spans="1:5" ht="30" customHeight="1">
      <c r="A99" s="6" t="s">
        <v>1807</v>
      </c>
      <c r="B99" s="6" t="s">
        <v>161</v>
      </c>
      <c r="C99" s="6" t="s">
        <v>1808</v>
      </c>
      <c r="D99" s="6" t="s">
        <v>1628</v>
      </c>
      <c r="E99" s="6" t="s">
        <v>1809</v>
      </c>
    </row>
    <row r="100" spans="1:5" ht="30" customHeight="1">
      <c r="A100" s="4" t="s">
        <v>1810</v>
      </c>
      <c r="B100" s="4" t="s">
        <v>164</v>
      </c>
      <c r="C100" s="4" t="s">
        <v>1811</v>
      </c>
      <c r="D100" s="4" t="s">
        <v>1812</v>
      </c>
      <c r="E100" s="4" t="s">
        <v>1813</v>
      </c>
    </row>
    <row r="101" spans="1:5" ht="30" customHeight="1">
      <c r="A101" s="6" t="s">
        <v>1814</v>
      </c>
      <c r="B101" s="6" t="s">
        <v>164</v>
      </c>
      <c r="C101" s="6" t="s">
        <v>1815</v>
      </c>
      <c r="D101" s="6" t="s">
        <v>1812</v>
      </c>
      <c r="E101" s="6" t="s">
        <v>1816</v>
      </c>
    </row>
    <row r="102" spans="1:5" ht="30" customHeight="1">
      <c r="A102" s="4" t="s">
        <v>1817</v>
      </c>
      <c r="B102" s="4" t="s">
        <v>164</v>
      </c>
      <c r="C102" s="4" t="s">
        <v>1818</v>
      </c>
      <c r="D102" s="4" t="s">
        <v>1654</v>
      </c>
      <c r="E102" s="4" t="s">
        <v>1819</v>
      </c>
    </row>
    <row r="103" spans="1:5" ht="30" customHeight="1">
      <c r="A103" s="6" t="s">
        <v>1820</v>
      </c>
      <c r="B103" s="6" t="s">
        <v>164</v>
      </c>
      <c r="C103" s="6" t="s">
        <v>1821</v>
      </c>
      <c r="D103" s="6" t="s">
        <v>1822</v>
      </c>
      <c r="E103" s="6" t="s">
        <v>1823</v>
      </c>
    </row>
    <row r="104" spans="1:5" ht="30" customHeight="1">
      <c r="A104" s="4" t="s">
        <v>1824</v>
      </c>
      <c r="B104" s="4" t="s">
        <v>167</v>
      </c>
      <c r="C104" s="4" t="s">
        <v>1825</v>
      </c>
      <c r="D104" s="4" t="s">
        <v>1654</v>
      </c>
      <c r="E104" s="4" t="s">
        <v>1826</v>
      </c>
    </row>
    <row r="105" spans="1:5" ht="30" customHeight="1">
      <c r="A105" s="6" t="s">
        <v>1827</v>
      </c>
      <c r="B105" s="6" t="s">
        <v>167</v>
      </c>
      <c r="C105" s="6" t="s">
        <v>1590</v>
      </c>
      <c r="D105" s="6" t="s">
        <v>1591</v>
      </c>
      <c r="E105" s="6" t="s">
        <v>1828</v>
      </c>
    </row>
    <row r="106" spans="1:5" ht="38" customHeight="1">
      <c r="A106" s="4" t="s">
        <v>1829</v>
      </c>
      <c r="B106" s="4" t="s">
        <v>167</v>
      </c>
      <c r="C106" s="4" t="s">
        <v>1830</v>
      </c>
      <c r="D106" s="4" t="s">
        <v>1503</v>
      </c>
      <c r="E106" s="4" t="s">
        <v>1831</v>
      </c>
    </row>
    <row r="107" spans="1:5" ht="30" customHeight="1">
      <c r="A107" s="6" t="s">
        <v>1832</v>
      </c>
      <c r="B107" s="6" t="s">
        <v>167</v>
      </c>
      <c r="C107" s="6" t="s">
        <v>1833</v>
      </c>
      <c r="D107" s="6" t="s">
        <v>1834</v>
      </c>
      <c r="E107" s="6" t="s">
        <v>1835</v>
      </c>
    </row>
    <row r="108" spans="1:5" ht="30" customHeight="1">
      <c r="A108" s="4" t="s">
        <v>1836</v>
      </c>
      <c r="B108" s="4" t="s">
        <v>170</v>
      </c>
      <c r="C108" s="4" t="s">
        <v>1837</v>
      </c>
      <c r="D108" s="4" t="s">
        <v>1838</v>
      </c>
      <c r="E108" s="4" t="s">
        <v>1839</v>
      </c>
    </row>
    <row r="109" spans="1:5" ht="30" customHeight="1">
      <c r="A109" s="6" t="s">
        <v>1840</v>
      </c>
      <c r="B109" s="6" t="s">
        <v>170</v>
      </c>
      <c r="C109" s="6" t="s">
        <v>1841</v>
      </c>
      <c r="D109" s="6" t="s">
        <v>1712</v>
      </c>
      <c r="E109" s="6" t="s">
        <v>1842</v>
      </c>
    </row>
    <row r="110" spans="1:5" ht="38" customHeight="1">
      <c r="A110" s="4" t="s">
        <v>1843</v>
      </c>
      <c r="B110" s="4" t="s">
        <v>170</v>
      </c>
      <c r="C110" s="4" t="s">
        <v>1844</v>
      </c>
      <c r="D110" s="4" t="s">
        <v>1535</v>
      </c>
      <c r="E110" s="4" t="s">
        <v>1845</v>
      </c>
    </row>
    <row r="111" spans="1:5" ht="30" customHeight="1">
      <c r="A111" s="6" t="s">
        <v>1846</v>
      </c>
      <c r="B111" s="6" t="s">
        <v>170</v>
      </c>
      <c r="C111" s="6" t="s">
        <v>1847</v>
      </c>
      <c r="D111" s="6" t="s">
        <v>1654</v>
      </c>
      <c r="E111" s="6" t="s">
        <v>1848</v>
      </c>
    </row>
    <row r="112" spans="1:5" ht="30" customHeight="1">
      <c r="A112" s="4" t="s">
        <v>1849</v>
      </c>
      <c r="B112" s="4" t="s">
        <v>173</v>
      </c>
      <c r="C112" s="4" t="s">
        <v>1850</v>
      </c>
      <c r="D112" s="4" t="s">
        <v>1787</v>
      </c>
      <c r="E112" s="4" t="s">
        <v>1851</v>
      </c>
    </row>
    <row r="113" spans="1:5" ht="30" customHeight="1">
      <c r="A113" s="6" t="s">
        <v>1852</v>
      </c>
      <c r="B113" s="6" t="s">
        <v>173</v>
      </c>
      <c r="C113" s="6" t="s">
        <v>1853</v>
      </c>
      <c r="D113" s="6" t="s">
        <v>1733</v>
      </c>
      <c r="E113" s="6" t="s">
        <v>1854</v>
      </c>
    </row>
    <row r="114" spans="1:5" ht="38" customHeight="1">
      <c r="A114" s="4" t="s">
        <v>1855</v>
      </c>
      <c r="B114" s="4" t="s">
        <v>173</v>
      </c>
      <c r="C114" s="4" t="s">
        <v>1657</v>
      </c>
      <c r="D114" s="4" t="s">
        <v>1598</v>
      </c>
      <c r="E114" s="4" t="s">
        <v>1673</v>
      </c>
    </row>
    <row r="115" spans="1:5" ht="30" customHeight="1">
      <c r="A115" s="6" t="s">
        <v>1856</v>
      </c>
      <c r="B115" s="6" t="s">
        <v>176</v>
      </c>
      <c r="C115" s="6" t="s">
        <v>2</v>
      </c>
      <c r="D115" s="6" t="s">
        <v>1857</v>
      </c>
      <c r="E115" s="6" t="s">
        <v>1858</v>
      </c>
    </row>
    <row r="116" spans="1:5" ht="30" customHeight="1">
      <c r="A116" s="4" t="s">
        <v>1859</v>
      </c>
      <c r="B116" s="4" t="s">
        <v>176</v>
      </c>
      <c r="C116" s="4" t="s">
        <v>1860</v>
      </c>
      <c r="D116" s="4" t="s">
        <v>1857</v>
      </c>
      <c r="E116" s="4" t="s">
        <v>1861</v>
      </c>
    </row>
    <row r="117" spans="1:5" ht="38" customHeight="1">
      <c r="A117" s="6" t="s">
        <v>1862</v>
      </c>
      <c r="B117" s="6" t="s">
        <v>176</v>
      </c>
      <c r="C117" s="6" t="s">
        <v>835</v>
      </c>
      <c r="D117" s="6" t="s">
        <v>1863</v>
      </c>
      <c r="E117" s="6" t="s">
        <v>1864</v>
      </c>
    </row>
    <row r="118" spans="1:5" ht="30" customHeight="1">
      <c r="A118" s="4" t="s">
        <v>1865</v>
      </c>
      <c r="B118" s="4" t="s">
        <v>179</v>
      </c>
      <c r="C118" s="4" t="s">
        <v>1866</v>
      </c>
      <c r="D118" s="4" t="s">
        <v>1867</v>
      </c>
      <c r="E118" s="4" t="s">
        <v>1868</v>
      </c>
    </row>
    <row r="119" spans="1:5" ht="30" customHeight="1">
      <c r="A119" s="6" t="s">
        <v>1869</v>
      </c>
      <c r="B119" s="6" t="s">
        <v>179</v>
      </c>
      <c r="C119" s="6" t="s">
        <v>1631</v>
      </c>
      <c r="D119" s="6" t="s">
        <v>1867</v>
      </c>
      <c r="E119" s="6" t="s">
        <v>1870</v>
      </c>
    </row>
    <row r="120" spans="1:5" ht="38" customHeight="1">
      <c r="A120" s="4" t="s">
        <v>1871</v>
      </c>
      <c r="B120" s="4" t="s">
        <v>179</v>
      </c>
      <c r="C120" s="4" t="s">
        <v>1872</v>
      </c>
      <c r="D120" s="4" t="s">
        <v>1598</v>
      </c>
      <c r="E120" s="4" t="s">
        <v>1873</v>
      </c>
    </row>
    <row r="121" spans="1:5" ht="30" customHeight="1">
      <c r="A121" s="6" t="s">
        <v>1874</v>
      </c>
      <c r="B121" s="6" t="s">
        <v>179</v>
      </c>
      <c r="C121" s="6" t="s">
        <v>1875</v>
      </c>
      <c r="D121" s="6" t="s">
        <v>1523</v>
      </c>
      <c r="E121" s="6" t="s">
        <v>1876</v>
      </c>
    </row>
    <row r="122" spans="1:5" ht="30" customHeight="1">
      <c r="A122" s="4" t="s">
        <v>1877</v>
      </c>
      <c r="B122" s="4" t="s">
        <v>179</v>
      </c>
      <c r="C122" s="4" t="s">
        <v>1506</v>
      </c>
      <c r="D122" s="4" t="s">
        <v>1507</v>
      </c>
      <c r="E122" s="4" t="s">
        <v>1508</v>
      </c>
    </row>
    <row r="123" spans="1:5" ht="30" customHeight="1">
      <c r="A123" s="6" t="s">
        <v>1878</v>
      </c>
      <c r="B123" s="6" t="s">
        <v>183</v>
      </c>
      <c r="C123" s="6" t="s">
        <v>1879</v>
      </c>
      <c r="D123" s="6" t="s">
        <v>1535</v>
      </c>
      <c r="E123" s="6" t="s">
        <v>1880</v>
      </c>
    </row>
    <row r="124" spans="1:5" ht="30" customHeight="1">
      <c r="A124" s="4" t="s">
        <v>1881</v>
      </c>
      <c r="B124" s="4" t="s">
        <v>183</v>
      </c>
      <c r="C124" s="4" t="s">
        <v>1818</v>
      </c>
      <c r="D124" s="4" t="s">
        <v>1523</v>
      </c>
      <c r="E124" s="4" t="s">
        <v>1882</v>
      </c>
    </row>
    <row r="125" spans="1:5" ht="30" customHeight="1">
      <c r="A125" s="6" t="s">
        <v>1883</v>
      </c>
      <c r="B125" s="6" t="s">
        <v>187</v>
      </c>
      <c r="C125" s="6" t="s">
        <v>1811</v>
      </c>
      <c r="D125" s="6" t="s">
        <v>1884</v>
      </c>
      <c r="E125" s="6" t="s">
        <v>1885</v>
      </c>
    </row>
    <row r="126" spans="1:5" ht="30" customHeight="1">
      <c r="A126" s="4" t="s">
        <v>1886</v>
      </c>
      <c r="B126" s="4" t="s">
        <v>190</v>
      </c>
      <c r="C126" s="4" t="s">
        <v>1887</v>
      </c>
      <c r="D126" s="4" t="s">
        <v>1888</v>
      </c>
      <c r="E126" s="4" t="s">
        <v>1889</v>
      </c>
    </row>
    <row r="127" spans="1:5" ht="30" customHeight="1">
      <c r="A127" s="6" t="s">
        <v>1890</v>
      </c>
      <c r="B127" s="6" t="s">
        <v>190</v>
      </c>
      <c r="C127" s="6" t="s">
        <v>1891</v>
      </c>
      <c r="D127" s="6" t="s">
        <v>1888</v>
      </c>
      <c r="E127" s="6" t="s">
        <v>1892</v>
      </c>
    </row>
    <row r="128" spans="1:5" ht="30" customHeight="1">
      <c r="A128" s="4" t="s">
        <v>1893</v>
      </c>
      <c r="B128" s="4" t="s">
        <v>194</v>
      </c>
      <c r="C128" s="4" t="s">
        <v>1894</v>
      </c>
      <c r="D128" s="4" t="s">
        <v>1888</v>
      </c>
      <c r="E128" s="4" t="s">
        <v>1895</v>
      </c>
    </row>
    <row r="129" spans="1:5" ht="30" customHeight="1">
      <c r="A129" s="6" t="s">
        <v>1896</v>
      </c>
      <c r="B129" s="6" t="s">
        <v>197</v>
      </c>
      <c r="C129" s="6" t="s">
        <v>1555</v>
      </c>
      <c r="D129" s="6" t="s">
        <v>1897</v>
      </c>
      <c r="E129" s="6" t="s">
        <v>1898</v>
      </c>
    </row>
    <row r="130" spans="1:5" ht="30" customHeight="1">
      <c r="A130" s="4" t="s">
        <v>1899</v>
      </c>
      <c r="B130" s="4" t="s">
        <v>197</v>
      </c>
      <c r="C130" s="4" t="s">
        <v>1900</v>
      </c>
      <c r="D130" s="4" t="s">
        <v>1897</v>
      </c>
      <c r="E130" s="4" t="s">
        <v>1901</v>
      </c>
    </row>
    <row r="131" spans="1:5" ht="30" customHeight="1">
      <c r="A131" s="6" t="s">
        <v>1902</v>
      </c>
      <c r="B131" s="6" t="s">
        <v>197</v>
      </c>
      <c r="C131" s="6" t="s">
        <v>1903</v>
      </c>
      <c r="D131" s="6" t="s">
        <v>1591</v>
      </c>
      <c r="E131" s="6" t="s">
        <v>1904</v>
      </c>
    </row>
    <row r="132" spans="1:5" ht="30" customHeight="1">
      <c r="A132" s="4" t="s">
        <v>1905</v>
      </c>
      <c r="B132" s="4" t="s">
        <v>201</v>
      </c>
      <c r="C132" s="4" t="s">
        <v>1906</v>
      </c>
      <c r="D132" s="4" t="s">
        <v>1907</v>
      </c>
      <c r="E132" s="4" t="s">
        <v>1908</v>
      </c>
    </row>
    <row r="133" spans="1:5" ht="30" customHeight="1">
      <c r="A133" s="6" t="s">
        <v>1909</v>
      </c>
      <c r="B133" s="6" t="s">
        <v>201</v>
      </c>
      <c r="C133" s="6" t="s">
        <v>1853</v>
      </c>
      <c r="D133" s="6" t="s">
        <v>1654</v>
      </c>
      <c r="E133" s="6" t="s">
        <v>1910</v>
      </c>
    </row>
    <row r="134" spans="1:5" ht="30" customHeight="1">
      <c r="A134" s="4" t="s">
        <v>1911</v>
      </c>
      <c r="B134" s="4" t="s">
        <v>204</v>
      </c>
      <c r="C134" s="4" t="s">
        <v>1912</v>
      </c>
      <c r="D134" s="4" t="s">
        <v>1538</v>
      </c>
      <c r="E134" s="4" t="s">
        <v>1913</v>
      </c>
    </row>
    <row r="135" spans="1:5" ht="30" customHeight="1">
      <c r="A135" s="6" t="s">
        <v>1914</v>
      </c>
      <c r="B135" s="6" t="s">
        <v>204</v>
      </c>
      <c r="C135" s="6" t="s">
        <v>1915</v>
      </c>
      <c r="D135" s="6" t="s">
        <v>1538</v>
      </c>
      <c r="E135" s="6" t="s">
        <v>1916</v>
      </c>
    </row>
    <row r="136" spans="1:5" ht="30" customHeight="1">
      <c r="A136" s="4" t="s">
        <v>1917</v>
      </c>
      <c r="B136" s="4" t="s">
        <v>207</v>
      </c>
      <c r="C136" s="4" t="s">
        <v>1918</v>
      </c>
      <c r="D136" s="4" t="s">
        <v>1919</v>
      </c>
      <c r="E136" s="4" t="s">
        <v>1920</v>
      </c>
    </row>
    <row r="137" spans="1:5" ht="30" customHeight="1">
      <c r="A137" s="6" t="s">
        <v>1921</v>
      </c>
      <c r="B137" s="6" t="s">
        <v>207</v>
      </c>
      <c r="C137" s="6" t="s">
        <v>1922</v>
      </c>
      <c r="D137" s="6" t="s">
        <v>1523</v>
      </c>
      <c r="E137" s="6" t="s">
        <v>1923</v>
      </c>
    </row>
    <row r="138" spans="1:5" ht="30" customHeight="1">
      <c r="A138" s="4" t="s">
        <v>1924</v>
      </c>
      <c r="B138" s="4" t="s">
        <v>207</v>
      </c>
      <c r="C138" s="4" t="s">
        <v>1925</v>
      </c>
      <c r="D138" s="4" t="s">
        <v>1523</v>
      </c>
      <c r="E138" s="4" t="s">
        <v>1926</v>
      </c>
    </row>
    <row r="139" spans="1:5" ht="30" customHeight="1">
      <c r="A139" s="6" t="s">
        <v>1927</v>
      </c>
      <c r="B139" s="6" t="s">
        <v>210</v>
      </c>
      <c r="C139" s="6" t="s">
        <v>495</v>
      </c>
      <c r="D139" s="6" t="s">
        <v>1928</v>
      </c>
      <c r="E139" s="6" t="s">
        <v>1929</v>
      </c>
    </row>
    <row r="140" spans="1:5" ht="30" customHeight="1">
      <c r="A140" s="4" t="s">
        <v>1930</v>
      </c>
      <c r="B140" s="4" t="s">
        <v>210</v>
      </c>
      <c r="C140" s="4" t="s">
        <v>1931</v>
      </c>
      <c r="D140" s="4" t="s">
        <v>1928</v>
      </c>
      <c r="E140" s="4" t="s">
        <v>1932</v>
      </c>
    </row>
    <row r="141" spans="1:5" ht="30" customHeight="1">
      <c r="A141" s="6" t="s">
        <v>1933</v>
      </c>
      <c r="B141" s="6" t="s">
        <v>210</v>
      </c>
      <c r="C141" s="6" t="s">
        <v>1922</v>
      </c>
      <c r="D141" s="6" t="s">
        <v>1523</v>
      </c>
      <c r="E141" s="6" t="s">
        <v>1934</v>
      </c>
    </row>
    <row r="142" spans="1:5" ht="30" customHeight="1">
      <c r="A142" s="4" t="s">
        <v>1935</v>
      </c>
      <c r="B142" s="4" t="s">
        <v>213</v>
      </c>
      <c r="C142" s="4" t="s">
        <v>495</v>
      </c>
      <c r="D142" s="4" t="s">
        <v>1936</v>
      </c>
      <c r="E142" s="4" t="s">
        <v>1937</v>
      </c>
    </row>
    <row r="143" spans="1:5" ht="30" customHeight="1">
      <c r="A143" s="6" t="s">
        <v>1938</v>
      </c>
      <c r="B143" s="6" t="s">
        <v>213</v>
      </c>
      <c r="C143" s="6" t="s">
        <v>1939</v>
      </c>
      <c r="D143" s="6" t="s">
        <v>1936</v>
      </c>
      <c r="E143" s="6" t="s">
        <v>1940</v>
      </c>
    </row>
    <row r="144" spans="1:5" ht="30" customHeight="1">
      <c r="A144" s="4" t="s">
        <v>1941</v>
      </c>
      <c r="B144" s="4" t="s">
        <v>213</v>
      </c>
      <c r="C144" s="4" t="s">
        <v>1942</v>
      </c>
      <c r="D144" s="4" t="s">
        <v>1507</v>
      </c>
      <c r="E144" s="4" t="s">
        <v>1943</v>
      </c>
    </row>
    <row r="145" spans="1:5" ht="30" customHeight="1">
      <c r="A145" s="6" t="s">
        <v>1944</v>
      </c>
      <c r="B145" s="6" t="s">
        <v>213</v>
      </c>
      <c r="C145" s="6" t="s">
        <v>1945</v>
      </c>
      <c r="D145" s="6" t="s">
        <v>1946</v>
      </c>
      <c r="E145" s="6" t="s">
        <v>1947</v>
      </c>
    </row>
    <row r="146" spans="1:5" ht="30" customHeight="1">
      <c r="A146" s="4" t="s">
        <v>1948</v>
      </c>
      <c r="B146" s="4" t="s">
        <v>216</v>
      </c>
      <c r="C146" s="4" t="s">
        <v>1949</v>
      </c>
      <c r="D146" s="4" t="s">
        <v>1950</v>
      </c>
      <c r="E146" s="4" t="s">
        <v>1951</v>
      </c>
    </row>
    <row r="147" spans="1:5" ht="30" customHeight="1">
      <c r="A147" s="6" t="s">
        <v>1952</v>
      </c>
      <c r="B147" s="6" t="s">
        <v>216</v>
      </c>
      <c r="C147" s="6" t="s">
        <v>1953</v>
      </c>
      <c r="D147" s="6" t="s">
        <v>1702</v>
      </c>
      <c r="E147" s="6" t="s">
        <v>1954</v>
      </c>
    </row>
    <row r="148" spans="1:5" ht="38" customHeight="1">
      <c r="A148" s="4" t="s">
        <v>1955</v>
      </c>
      <c r="B148" s="4" t="s">
        <v>216</v>
      </c>
      <c r="C148" s="4" t="s">
        <v>1956</v>
      </c>
      <c r="D148" s="4" t="s">
        <v>1598</v>
      </c>
      <c r="E148" s="4" t="s">
        <v>1957</v>
      </c>
    </row>
    <row r="149" spans="1:5" ht="38" customHeight="1">
      <c r="A149" s="6" t="s">
        <v>1958</v>
      </c>
      <c r="B149" s="6" t="s">
        <v>216</v>
      </c>
      <c r="C149" s="6" t="s">
        <v>1959</v>
      </c>
      <c r="D149" s="6" t="s">
        <v>1960</v>
      </c>
      <c r="E149" s="6" t="s">
        <v>1961</v>
      </c>
    </row>
    <row r="150" spans="1:5" ht="30" customHeight="1">
      <c r="A150" s="4" t="s">
        <v>1962</v>
      </c>
      <c r="B150" s="4" t="s">
        <v>222</v>
      </c>
      <c r="C150" s="4" t="s">
        <v>1963</v>
      </c>
      <c r="D150" s="4" t="s">
        <v>1964</v>
      </c>
      <c r="E150" s="4" t="s">
        <v>1965</v>
      </c>
    </row>
    <row r="151" spans="1:5" ht="30" customHeight="1">
      <c r="A151" s="6" t="s">
        <v>1966</v>
      </c>
      <c r="B151" s="6" t="s">
        <v>222</v>
      </c>
      <c r="C151" s="6" t="s">
        <v>1967</v>
      </c>
      <c r="D151" s="6" t="s">
        <v>1964</v>
      </c>
      <c r="E151" s="6" t="s">
        <v>1968</v>
      </c>
    </row>
    <row r="152" spans="1:5" ht="30" customHeight="1">
      <c r="A152" s="4" t="s">
        <v>1969</v>
      </c>
      <c r="B152" s="4" t="s">
        <v>222</v>
      </c>
      <c r="C152" s="4" t="s">
        <v>1970</v>
      </c>
      <c r="D152" s="4" t="s">
        <v>1971</v>
      </c>
      <c r="E152" s="4" t="s">
        <v>1972</v>
      </c>
    </row>
    <row r="153" spans="1:5" ht="30" customHeight="1">
      <c r="A153" s="6" t="s">
        <v>1973</v>
      </c>
      <c r="B153" s="6" t="s">
        <v>226</v>
      </c>
      <c r="C153" s="6" t="s">
        <v>1853</v>
      </c>
      <c r="D153" s="6" t="s">
        <v>1974</v>
      </c>
      <c r="E153" s="6" t="s">
        <v>1975</v>
      </c>
    </row>
    <row r="154" spans="1:5" ht="38" customHeight="1">
      <c r="A154" s="4" t="s">
        <v>1976</v>
      </c>
      <c r="B154" s="4" t="s">
        <v>226</v>
      </c>
      <c r="C154" s="4" t="s">
        <v>1555</v>
      </c>
      <c r="D154" s="4" t="s">
        <v>1974</v>
      </c>
      <c r="E154" s="4" t="s">
        <v>1977</v>
      </c>
    </row>
    <row r="155" spans="1:5" ht="30" customHeight="1">
      <c r="A155" s="6" t="s">
        <v>1978</v>
      </c>
      <c r="B155" s="6" t="s">
        <v>226</v>
      </c>
      <c r="C155" s="6" t="s">
        <v>1866</v>
      </c>
      <c r="D155" s="6" t="s">
        <v>1974</v>
      </c>
      <c r="E155" s="6" t="s">
        <v>1979</v>
      </c>
    </row>
    <row r="156" spans="1:5" ht="38" customHeight="1">
      <c r="A156" s="4" t="s">
        <v>234</v>
      </c>
      <c r="B156" s="4" t="s">
        <v>231</v>
      </c>
      <c r="C156" s="4" t="s">
        <v>1980</v>
      </c>
      <c r="D156" s="4" t="s">
        <v>1981</v>
      </c>
      <c r="E156" s="4" t="s">
        <v>1982</v>
      </c>
    </row>
    <row r="157" spans="1:5" ht="30" customHeight="1">
      <c r="A157" s="6" t="s">
        <v>1983</v>
      </c>
      <c r="B157" s="6" t="s">
        <v>236</v>
      </c>
      <c r="C157" s="6" t="s">
        <v>1984</v>
      </c>
      <c r="D157" s="6" t="s">
        <v>1985</v>
      </c>
      <c r="E157" s="6" t="s">
        <v>1986</v>
      </c>
    </row>
    <row r="158" spans="1:5" ht="30" customHeight="1">
      <c r="A158" s="4" t="s">
        <v>1987</v>
      </c>
      <c r="B158" s="4" t="s">
        <v>236</v>
      </c>
      <c r="C158" s="4" t="s">
        <v>1988</v>
      </c>
      <c r="D158" s="4" t="s">
        <v>1989</v>
      </c>
      <c r="E158" s="4" t="s">
        <v>1990</v>
      </c>
    </row>
    <row r="159" spans="1:5" ht="30" customHeight="1">
      <c r="A159" s="6" t="s">
        <v>1991</v>
      </c>
      <c r="B159" s="6" t="s">
        <v>236</v>
      </c>
      <c r="C159" s="6" t="s">
        <v>1555</v>
      </c>
      <c r="D159" s="6" t="s">
        <v>1654</v>
      </c>
      <c r="E159" s="6" t="s">
        <v>1992</v>
      </c>
    </row>
    <row r="160" spans="1:5" ht="30" customHeight="1">
      <c r="A160" s="4" t="s">
        <v>1993</v>
      </c>
      <c r="B160" s="4" t="s">
        <v>240</v>
      </c>
      <c r="C160" s="4" t="s">
        <v>1994</v>
      </c>
      <c r="D160" s="4" t="s">
        <v>1995</v>
      </c>
      <c r="E160" s="4" t="s">
        <v>1428</v>
      </c>
    </row>
    <row r="161" spans="1:5" ht="30" customHeight="1">
      <c r="A161" s="6" t="s">
        <v>1996</v>
      </c>
      <c r="B161" s="6" t="s">
        <v>240</v>
      </c>
      <c r="C161" s="6" t="s">
        <v>1997</v>
      </c>
      <c r="D161" s="6" t="s">
        <v>1995</v>
      </c>
      <c r="E161" s="6" t="s">
        <v>1998</v>
      </c>
    </row>
    <row r="162" spans="1:5" ht="30" customHeight="1">
      <c r="A162" s="4" t="s">
        <v>1999</v>
      </c>
      <c r="B162" s="4" t="s">
        <v>240</v>
      </c>
      <c r="C162" s="4" t="s">
        <v>2000</v>
      </c>
      <c r="D162" s="4" t="s">
        <v>1995</v>
      </c>
      <c r="E162" s="4" t="s">
        <v>2001</v>
      </c>
    </row>
    <row r="163" spans="1:5" ht="30" customHeight="1">
      <c r="A163" s="6" t="s">
        <v>2002</v>
      </c>
      <c r="B163" s="6" t="s">
        <v>245</v>
      </c>
      <c r="C163" s="6" t="s">
        <v>2</v>
      </c>
      <c r="D163" s="6" t="s">
        <v>2003</v>
      </c>
      <c r="E163" s="6" t="s">
        <v>2004</v>
      </c>
    </row>
    <row r="164" spans="1:5" ht="30" customHeight="1">
      <c r="A164" s="4" t="s">
        <v>2005</v>
      </c>
      <c r="B164" s="4" t="s">
        <v>245</v>
      </c>
      <c r="C164" s="4" t="s">
        <v>2006</v>
      </c>
      <c r="D164" s="4" t="s">
        <v>2007</v>
      </c>
      <c r="E164" s="4" t="s">
        <v>1473</v>
      </c>
    </row>
    <row r="165" spans="1:5" ht="30" customHeight="1">
      <c r="A165" s="6" t="s">
        <v>2008</v>
      </c>
      <c r="B165" s="6" t="s">
        <v>249</v>
      </c>
      <c r="C165" s="6" t="s">
        <v>2009</v>
      </c>
      <c r="D165" s="6" t="s">
        <v>2010</v>
      </c>
      <c r="E165" s="6" t="s">
        <v>2011</v>
      </c>
    </row>
    <row r="166" spans="1:5" ht="30" customHeight="1">
      <c r="A166" s="4" t="s">
        <v>2012</v>
      </c>
      <c r="B166" s="4" t="s">
        <v>249</v>
      </c>
      <c r="C166" s="4" t="s">
        <v>2013</v>
      </c>
      <c r="D166" s="4" t="s">
        <v>2010</v>
      </c>
      <c r="E166" s="4" t="s">
        <v>2014</v>
      </c>
    </row>
    <row r="167" spans="1:5" ht="30" customHeight="1">
      <c r="A167" s="6" t="s">
        <v>2015</v>
      </c>
      <c r="B167" s="6" t="s">
        <v>249</v>
      </c>
      <c r="C167" s="6" t="s">
        <v>2016</v>
      </c>
      <c r="D167" s="6" t="s">
        <v>2017</v>
      </c>
      <c r="E167" s="6" t="s">
        <v>2018</v>
      </c>
    </row>
    <row r="168" spans="1:5" ht="30" customHeight="1">
      <c r="A168" s="4" t="s">
        <v>2019</v>
      </c>
      <c r="B168" s="4" t="s">
        <v>253</v>
      </c>
      <c r="C168" s="4" t="s">
        <v>2020</v>
      </c>
      <c r="D168" s="4" t="s">
        <v>2021</v>
      </c>
      <c r="E168" s="4" t="s">
        <v>2022</v>
      </c>
    </row>
    <row r="169" spans="1:5" ht="30" customHeight="1">
      <c r="A169" s="6" t="s">
        <v>2023</v>
      </c>
      <c r="B169" s="6" t="s">
        <v>253</v>
      </c>
      <c r="C169" s="6" t="s">
        <v>2024</v>
      </c>
      <c r="D169" s="6" t="s">
        <v>2021</v>
      </c>
      <c r="E169" s="6" t="s">
        <v>2025</v>
      </c>
    </row>
    <row r="170" spans="1:5" ht="30" customHeight="1">
      <c r="A170" s="4" t="s">
        <v>2026</v>
      </c>
      <c r="B170" s="4" t="s">
        <v>256</v>
      </c>
      <c r="C170" s="4" t="s">
        <v>2027</v>
      </c>
      <c r="D170" s="4" t="s">
        <v>2028</v>
      </c>
      <c r="E170" s="4" t="s">
        <v>2029</v>
      </c>
    </row>
    <row r="171" spans="1:5" ht="30" customHeight="1">
      <c r="A171" s="6" t="s">
        <v>2030</v>
      </c>
      <c r="B171" s="6" t="s">
        <v>256</v>
      </c>
      <c r="C171" s="6" t="s">
        <v>2031</v>
      </c>
      <c r="D171" s="6" t="s">
        <v>1755</v>
      </c>
      <c r="E171" s="6" t="s">
        <v>2032</v>
      </c>
    </row>
    <row r="172" spans="1:5" ht="30" customHeight="1">
      <c r="A172" s="4" t="s">
        <v>2033</v>
      </c>
      <c r="B172" s="4" t="s">
        <v>260</v>
      </c>
      <c r="C172" s="4" t="s">
        <v>1604</v>
      </c>
      <c r="D172" s="4" t="s">
        <v>2034</v>
      </c>
      <c r="E172" s="4" t="s">
        <v>2035</v>
      </c>
    </row>
    <row r="173" spans="1:5" ht="30" customHeight="1">
      <c r="A173" s="6" t="s">
        <v>2036</v>
      </c>
      <c r="B173" s="6" t="s">
        <v>260</v>
      </c>
      <c r="C173" s="6" t="s">
        <v>2037</v>
      </c>
      <c r="D173" s="6" t="s">
        <v>2034</v>
      </c>
      <c r="E173" s="6" t="s">
        <v>2038</v>
      </c>
    </row>
    <row r="174" spans="1:5" ht="30" customHeight="1">
      <c r="A174" s="4" t="s">
        <v>2039</v>
      </c>
      <c r="B174" s="4" t="s">
        <v>260</v>
      </c>
      <c r="C174" s="4" t="s">
        <v>1608</v>
      </c>
      <c r="D174" s="4" t="s">
        <v>1755</v>
      </c>
      <c r="E174" s="4" t="s">
        <v>2040</v>
      </c>
    </row>
    <row r="175" spans="1:5" ht="38" customHeight="1">
      <c r="A175" s="6" t="s">
        <v>2041</v>
      </c>
      <c r="B175" s="6" t="s">
        <v>260</v>
      </c>
      <c r="C175" s="6" t="s">
        <v>2042</v>
      </c>
      <c r="D175" s="6" t="s">
        <v>2043</v>
      </c>
      <c r="E175" s="6" t="s">
        <v>2044</v>
      </c>
    </row>
    <row r="176" spans="1:5" ht="30" customHeight="1">
      <c r="A176" s="4" t="s">
        <v>2045</v>
      </c>
      <c r="B176" s="4" t="s">
        <v>260</v>
      </c>
      <c r="C176" s="4" t="s">
        <v>2046</v>
      </c>
      <c r="D176" s="4" t="s">
        <v>2047</v>
      </c>
      <c r="E176" s="4" t="s">
        <v>2048</v>
      </c>
    </row>
    <row r="177" spans="1:5" ht="30" customHeight="1">
      <c r="A177" s="6" t="s">
        <v>2049</v>
      </c>
      <c r="B177" s="6" t="s">
        <v>400</v>
      </c>
      <c r="C177" s="6" t="s">
        <v>2050</v>
      </c>
      <c r="D177" s="6" t="s">
        <v>1822</v>
      </c>
      <c r="E177" s="6" t="s">
        <v>1489</v>
      </c>
    </row>
    <row r="178" spans="1:5" ht="30" customHeight="1">
      <c r="A178" s="4" t="s">
        <v>409</v>
      </c>
      <c r="B178" s="4" t="s">
        <v>404</v>
      </c>
      <c r="C178" s="4" t="s">
        <v>2051</v>
      </c>
      <c r="D178" s="4" t="s">
        <v>2052</v>
      </c>
      <c r="E178" s="4" t="s">
        <v>2053</v>
      </c>
    </row>
    <row r="179" spans="1:5" ht="30" customHeight="1">
      <c r="A179" s="6" t="s">
        <v>413</v>
      </c>
      <c r="B179" s="6" t="s">
        <v>411</v>
      </c>
      <c r="C179" s="6" t="s">
        <v>2051</v>
      </c>
      <c r="D179" s="6" t="s">
        <v>2052</v>
      </c>
      <c r="E179" s="6" t="s">
        <v>2053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93A8"/>
  </sheetPr>
  <dimension ref="A1:B25"/>
  <sheetViews>
    <sheetView showGridLines="0" tabSelected="1" zoomScale="80" zoomScaleNormal="80" workbookViewId="0">
      <pane xSplit="2" ySplit="5" topLeftCell="C6" activePane="bottomRight" state="frozen"/>
      <selection pane="topRight"/>
      <selection pane="bottomLeft"/>
      <selection pane="bottomRight" activeCell="B8" sqref="B8"/>
    </sheetView>
  </sheetViews>
  <sheetFormatPr defaultRowHeight="14"/>
  <cols>
    <col min="1" max="1" width="35" customWidth="1"/>
    <col min="2" max="2" width="151" customWidth="1"/>
  </cols>
  <sheetData>
    <row r="1" spans="1:2">
      <c r="A1" s="1"/>
      <c r="B1" s="1"/>
    </row>
    <row r="2" spans="1:2" ht="18">
      <c r="A2" s="2" t="s">
        <v>2054</v>
      </c>
      <c r="B2" s="1"/>
    </row>
    <row r="3" spans="1:2" ht="26" customHeight="1">
      <c r="A3" s="3" t="s">
        <v>2055</v>
      </c>
      <c r="B3" s="1"/>
    </row>
    <row r="4" spans="1:2">
      <c r="A4" s="1"/>
      <c r="B4" s="1"/>
    </row>
    <row r="5" spans="1:2" ht="34" customHeight="1">
      <c r="A5" s="5" t="s">
        <v>2056</v>
      </c>
      <c r="B5" s="5" t="s">
        <v>2057</v>
      </c>
    </row>
    <row r="6" spans="1:2" ht="51" customHeight="1">
      <c r="A6" s="4" t="s">
        <v>2058</v>
      </c>
      <c r="B6" s="4" t="s">
        <v>2059</v>
      </c>
    </row>
    <row r="7" spans="1:2" ht="38" customHeight="1">
      <c r="A7" s="6" t="s">
        <v>2060</v>
      </c>
      <c r="B7" s="6" t="s">
        <v>2061</v>
      </c>
    </row>
    <row r="8" spans="1:2" ht="38" customHeight="1">
      <c r="A8" s="4" t="s">
        <v>2062</v>
      </c>
      <c r="B8" s="4" t="s">
        <v>2063</v>
      </c>
    </row>
    <row r="9" spans="1:2" ht="38" customHeight="1">
      <c r="A9" s="6" t="s">
        <v>2064</v>
      </c>
      <c r="B9" s="6" t="s">
        <v>2065</v>
      </c>
    </row>
    <row r="10" spans="1:2" ht="38" customHeight="1">
      <c r="A10" s="4" t="s">
        <v>2066</v>
      </c>
      <c r="B10" s="4" t="s">
        <v>2067</v>
      </c>
    </row>
    <row r="11" spans="1:2" ht="38" customHeight="1">
      <c r="A11" s="6" t="s">
        <v>2068</v>
      </c>
      <c r="B11" s="6" t="s">
        <v>2069</v>
      </c>
    </row>
    <row r="12" spans="1:2" ht="38" customHeight="1">
      <c r="A12" s="4" t="s">
        <v>2070</v>
      </c>
      <c r="B12" s="4" t="s">
        <v>2071</v>
      </c>
    </row>
    <row r="13" spans="1:2" ht="51" customHeight="1">
      <c r="A13" s="6" t="s">
        <v>2072</v>
      </c>
      <c r="B13" s="6" t="s">
        <v>2073</v>
      </c>
    </row>
    <row r="14" spans="1:2" ht="38" customHeight="1">
      <c r="A14" s="4" t="s">
        <v>2074</v>
      </c>
      <c r="B14" s="4" t="s">
        <v>2075</v>
      </c>
    </row>
    <row r="15" spans="1:2" ht="38" customHeight="1">
      <c r="A15" s="6" t="s">
        <v>2076</v>
      </c>
      <c r="B15" s="6" t="s">
        <v>2077</v>
      </c>
    </row>
    <row r="16" spans="1:2" ht="38" customHeight="1">
      <c r="A16" s="4" t="s">
        <v>1587</v>
      </c>
      <c r="B16" s="4" t="s">
        <v>2078</v>
      </c>
    </row>
    <row r="17" spans="1:2" ht="38" customHeight="1">
      <c r="A17" s="6" t="s">
        <v>2079</v>
      </c>
      <c r="B17" s="6" t="s">
        <v>2080</v>
      </c>
    </row>
    <row r="18" spans="1:2" ht="38" customHeight="1">
      <c r="A18" s="4" t="s">
        <v>2081</v>
      </c>
      <c r="B18" s="4" t="s">
        <v>2082</v>
      </c>
    </row>
    <row r="19" spans="1:2" ht="38" customHeight="1">
      <c r="A19" s="6" t="s">
        <v>2083</v>
      </c>
      <c r="B19" s="6" t="s">
        <v>2084</v>
      </c>
    </row>
    <row r="20" spans="1:2" ht="38" customHeight="1">
      <c r="A20" s="4" t="s">
        <v>2085</v>
      </c>
      <c r="B20" s="4" t="s">
        <v>2086</v>
      </c>
    </row>
    <row r="21" spans="1:2" ht="38" customHeight="1">
      <c r="A21" s="6" t="s">
        <v>2087</v>
      </c>
      <c r="B21" s="6" t="s">
        <v>2088</v>
      </c>
    </row>
    <row r="22" spans="1:2" ht="38" customHeight="1">
      <c r="A22" s="4" t="s">
        <v>2089</v>
      </c>
      <c r="B22" s="4" t="s">
        <v>2090</v>
      </c>
    </row>
    <row r="23" spans="1:2" ht="38" customHeight="1">
      <c r="A23" s="6" t="s">
        <v>2091</v>
      </c>
      <c r="B23" s="6" t="s">
        <v>2092</v>
      </c>
    </row>
    <row r="24" spans="1:2" ht="38" customHeight="1">
      <c r="A24" s="4" t="s">
        <v>2093</v>
      </c>
      <c r="B24" s="4" t="s">
        <v>2094</v>
      </c>
    </row>
    <row r="25" spans="1:2" ht="38" customHeight="1">
      <c r="A25" s="6" t="s">
        <v>2095</v>
      </c>
      <c r="B25" s="6" t="s">
        <v>2096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VC shortlist</vt:lpstr>
      <vt:lpstr>Company universe</vt:lpstr>
      <vt:lpstr>Funding</vt:lpstr>
      <vt:lpstr>Funding events</vt:lpstr>
      <vt:lpstr>Founders</vt:lpstr>
      <vt:lpstr>Products and readiness</vt:lpstr>
      <vt:lpstr>Customers and alliances</vt:lpstr>
      <vt:lpstr>Government support</vt:lpstr>
      <vt:lpstr>DLI projects</vt:lpstr>
      <vt:lpstr>Business model matrix</vt:lpstr>
      <vt:lpstr>Indian beneficiary map</vt:lpstr>
      <vt:lpstr>Sources</vt:lpstr>
      <vt:lpstr>Method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Aeka Advisors</cp:lastModifiedBy>
  <dcterms:modified xsi:type="dcterms:W3CDTF">2026-10-13T04:38:52Z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4bc214-72da-443b-8ab2-efa524d41866_Enabled">
    <vt:lpwstr>true</vt:lpwstr>
  </property>
  <property fmtid="{D5CDD505-2E9C-101B-9397-08002B2CF9AE}" pid="3" name="MSIP_Label_3a4bc214-72da-443b-8ab2-efa524d41866_SetDate">
    <vt:lpwstr>2026-10-05T04:59:32Z</vt:lpwstr>
  </property>
  <property fmtid="{D5CDD505-2E9C-101B-9397-08002B2CF9AE}" pid="4" name="MSIP_Label_3a4bc214-72da-443b-8ab2-efa524d41866_Method">
    <vt:lpwstr>Standard</vt:lpwstr>
  </property>
  <property fmtid="{D5CDD505-2E9C-101B-9397-08002B2CF9AE}" pid="5" name="MSIP_Label_3a4bc214-72da-443b-8ab2-efa524d41866_Name">
    <vt:lpwstr>defa4170-0d19-0005-0004-bc88714345d2</vt:lpwstr>
  </property>
  <property fmtid="{D5CDD505-2E9C-101B-9397-08002B2CF9AE}" pid="6" name="MSIP_Label_3a4bc214-72da-443b-8ab2-efa524d41866_SiteId">
    <vt:lpwstr>32f98d56-a7b3-416e-932b-fe48a1a9608e</vt:lpwstr>
  </property>
  <property fmtid="{D5CDD505-2E9C-101B-9397-08002B2CF9AE}" pid="7" name="MSIP_Label_3a4bc214-72da-443b-8ab2-efa524d41866_ActionId">
    <vt:lpwstr>aa4f8fbd-a7bd-4945-bc55-0b7fdab12555</vt:lpwstr>
  </property>
  <property fmtid="{D5CDD505-2E9C-101B-9397-08002B2CF9AE}" pid="8" name="MSIP_Label_3a4bc214-72da-443b-8ab2-efa524d41866_ContentBits">
    <vt:lpwstr>0</vt:lpwstr>
  </property>
  <property fmtid="{D5CDD505-2E9C-101B-9397-08002B2CF9AE}" pid="9" name="MSIP_Label_3a4bc214-72da-443b-8ab2-efa524d41866_Tag">
    <vt:lpwstr>10, 3, 0, 1</vt:lpwstr>
  </property>
</Properties>
</file>